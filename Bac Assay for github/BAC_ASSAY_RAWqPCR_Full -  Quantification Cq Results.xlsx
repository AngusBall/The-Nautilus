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unbc-my.sharepoint.com/personal/mpreston_unbc_ca/Documents/Students/Angus Ball/Lab work/The Nautilus/Data/On qPCR/Bac assay/Bac Assay raw data/"/>
    </mc:Choice>
  </mc:AlternateContent>
  <xr:revisionPtr revIDLastSave="87" documentId="11_3430F070B43552D17F03F98B72C9D567EF368DDA" xr6:coauthVersionLast="47" xr6:coauthVersionMax="47" xr10:uidLastSave="{99CDA452-D0EC-4A60-8740-3164CF89D1AA}"/>
  <bookViews>
    <workbookView xWindow="-108" yWindow="-108" windowWidth="23256" windowHeight="12456" tabRatio="500" xr2:uid="{00000000-000D-0000-FFFF-FFFF00000000}"/>
  </bookViews>
  <sheets>
    <sheet name="0" sheetId="1" r:id="rId1"/>
    <sheet name="Run Information" sheetId="2" r:id="rId2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2" i="1" l="1"/>
  <c r="Q62" i="1"/>
  <c r="M212" i="1"/>
</calcChain>
</file>

<file path=xl/sharedStrings.xml><?xml version="1.0" encoding="utf-8"?>
<sst xmlns="http://schemas.openxmlformats.org/spreadsheetml/2006/main" count="1508" uniqueCount="400">
  <si>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</si>
  <si>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</si>
  <si>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</si>
  <si>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</si>
  <si>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</si>
  <si>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</si>
  <si>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</si>
  <si>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</si>
  <si>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</si>
  <si>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</si>
  <si>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</si>
  <si>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</si>
  <si>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</si>
  <si>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</si>
  <si>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</si>
  <si>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</si>
  <si>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SYBR</t>
  </si>
  <si>
    <t/>
  </si>
  <si>
    <t>Unkn-01</t>
  </si>
  <si>
    <t>QLDc1_TS</t>
  </si>
  <si>
    <t>TS</t>
  </si>
  <si>
    <t>A02</t>
  </si>
  <si>
    <t>A03</t>
  </si>
  <si>
    <t>A04</t>
  </si>
  <si>
    <t>Unkn-17</t>
  </si>
  <si>
    <t>QLDc2_NS2</t>
  </si>
  <si>
    <t>NS2</t>
  </si>
  <si>
    <t>A05</t>
  </si>
  <si>
    <t>A06</t>
  </si>
  <si>
    <t>A07</t>
  </si>
  <si>
    <t>Unkn-33</t>
  </si>
  <si>
    <t>QLNc1_LN1</t>
  </si>
  <si>
    <t>LN1</t>
  </si>
  <si>
    <t>A08</t>
  </si>
  <si>
    <t>A09</t>
  </si>
  <si>
    <t>A10</t>
  </si>
  <si>
    <t>Unkn-49</t>
  </si>
  <si>
    <t>QLNc3_SH4</t>
  </si>
  <si>
    <t>SH4</t>
  </si>
  <si>
    <t>A11</t>
  </si>
  <si>
    <t>A12</t>
  </si>
  <si>
    <t>B01</t>
  </si>
  <si>
    <t>Unkn-02</t>
  </si>
  <si>
    <t>QLDc1_TL1</t>
  </si>
  <si>
    <t>TL1</t>
  </si>
  <si>
    <t>B02</t>
  </si>
  <si>
    <t>B03</t>
  </si>
  <si>
    <t>B04</t>
  </si>
  <si>
    <t>Unkn-18</t>
  </si>
  <si>
    <t>QLDc2_NS3</t>
  </si>
  <si>
    <t>NS3</t>
  </si>
  <si>
    <t>B05</t>
  </si>
  <si>
    <t>B06</t>
  </si>
  <si>
    <t>B07</t>
  </si>
  <si>
    <t>Unkn-34</t>
  </si>
  <si>
    <t>QLNc1_LN2</t>
  </si>
  <si>
    <t>LN2</t>
  </si>
  <si>
    <t>B08</t>
  </si>
  <si>
    <t>B09</t>
  </si>
  <si>
    <t>B10</t>
  </si>
  <si>
    <t>Unkn-50</t>
  </si>
  <si>
    <t>QLNc3_SH5</t>
  </si>
  <si>
    <t>SH5</t>
  </si>
  <si>
    <t>B11</t>
  </si>
  <si>
    <t>B12</t>
  </si>
  <si>
    <t>B13</t>
  </si>
  <si>
    <t>Std</t>
  </si>
  <si>
    <t>B14</t>
  </si>
  <si>
    <t>B15</t>
  </si>
  <si>
    <t>C01</t>
  </si>
  <si>
    <t>Unkn-03</t>
  </si>
  <si>
    <t>QLDc1_TL2</t>
  </si>
  <si>
    <t>TL2</t>
  </si>
  <si>
    <t>C02</t>
  </si>
  <si>
    <t>C03</t>
  </si>
  <si>
    <t>C04</t>
  </si>
  <si>
    <t>Unkn-19</t>
  </si>
  <si>
    <t>QLDc3_TS</t>
  </si>
  <si>
    <t>C05</t>
  </si>
  <si>
    <t>C06</t>
  </si>
  <si>
    <t>C07</t>
  </si>
  <si>
    <t>Unkn-35</t>
  </si>
  <si>
    <t>QLNc1_LN3</t>
  </si>
  <si>
    <t>LN3</t>
  </si>
  <si>
    <t>C08</t>
  </si>
  <si>
    <t>C09</t>
  </si>
  <si>
    <t>C10</t>
  </si>
  <si>
    <t>Unkn-51</t>
  </si>
  <si>
    <t>QLNc3_LN1</t>
  </si>
  <si>
    <t>C11</t>
  </si>
  <si>
    <t>C12</t>
  </si>
  <si>
    <t>C13</t>
  </si>
  <si>
    <t>C14</t>
  </si>
  <si>
    <t>C15</t>
  </si>
  <si>
    <t>D01</t>
  </si>
  <si>
    <t>Unkn-04</t>
  </si>
  <si>
    <t>QLDc1_TL3</t>
  </si>
  <si>
    <t>TL3</t>
  </si>
  <si>
    <t>D02</t>
  </si>
  <si>
    <t>D03</t>
  </si>
  <si>
    <t>D04</t>
  </si>
  <si>
    <t>Unkn-20</t>
  </si>
  <si>
    <t>QLDc3_TL1</t>
  </si>
  <si>
    <t>D05</t>
  </si>
  <si>
    <t>D06</t>
  </si>
  <si>
    <t>D07</t>
  </si>
  <si>
    <t>Unkn-36</t>
  </si>
  <si>
    <t>QLNc1_LN4</t>
  </si>
  <si>
    <t>LN4</t>
  </si>
  <si>
    <t>D08</t>
  </si>
  <si>
    <t>D09</t>
  </si>
  <si>
    <t>D10</t>
  </si>
  <si>
    <t>Unkn-52</t>
  </si>
  <si>
    <t>QLNc3_LN2</t>
  </si>
  <si>
    <t>D11</t>
  </si>
  <si>
    <t>D12</t>
  </si>
  <si>
    <t>D13</t>
  </si>
  <si>
    <t>D14</t>
  </si>
  <si>
    <t>D15</t>
  </si>
  <si>
    <t>E01</t>
  </si>
  <si>
    <t>Unkn-05</t>
  </si>
  <si>
    <t>QLDc1_TL4</t>
  </si>
  <si>
    <t>TL4</t>
  </si>
  <si>
    <t>E02</t>
  </si>
  <si>
    <t>E03</t>
  </si>
  <si>
    <t>E04</t>
  </si>
  <si>
    <t>Unkn-21</t>
  </si>
  <si>
    <t>QLDc3_TL2</t>
  </si>
  <si>
    <t>E05</t>
  </si>
  <si>
    <t>E06</t>
  </si>
  <si>
    <t>E07</t>
  </si>
  <si>
    <t>Unkn-37</t>
  </si>
  <si>
    <t>QLNc2_SH1</t>
  </si>
  <si>
    <t>SH1</t>
  </si>
  <si>
    <t>E08</t>
  </si>
  <si>
    <t>E09</t>
  </si>
  <si>
    <t>E10</t>
  </si>
  <si>
    <t>Unkn-53</t>
  </si>
  <si>
    <t>QLNc3_LN3</t>
  </si>
  <si>
    <t>E11</t>
  </si>
  <si>
    <t>E12</t>
  </si>
  <si>
    <t>E13</t>
  </si>
  <si>
    <t>E14</t>
  </si>
  <si>
    <t>E15</t>
  </si>
  <si>
    <t>F01</t>
  </si>
  <si>
    <t>Unkn-06</t>
  </si>
  <si>
    <t>QLDc1_I</t>
  </si>
  <si>
    <t>I</t>
  </si>
  <si>
    <t>F02</t>
  </si>
  <si>
    <t>F03</t>
  </si>
  <si>
    <t>F04</t>
  </si>
  <si>
    <t>Unkn-22</t>
  </si>
  <si>
    <t>QLDc3_TL3</t>
  </si>
  <si>
    <t>F05</t>
  </si>
  <si>
    <t>F06</t>
  </si>
  <si>
    <t>F07</t>
  </si>
  <si>
    <t>Unkn-38</t>
  </si>
  <si>
    <t>QLNc2_SH2</t>
  </si>
  <si>
    <t>SH2</t>
  </si>
  <si>
    <t>F08</t>
  </si>
  <si>
    <t>F09</t>
  </si>
  <si>
    <t>F10</t>
  </si>
  <si>
    <t>Unkn-54</t>
  </si>
  <si>
    <t>QLNc3_LN4</t>
  </si>
  <si>
    <t>F11</t>
  </si>
  <si>
    <t>F12</t>
  </si>
  <si>
    <t>F13</t>
  </si>
  <si>
    <t>F14</t>
  </si>
  <si>
    <t>F15</t>
  </si>
  <si>
    <t>G01</t>
  </si>
  <si>
    <t>Unkn-07</t>
  </si>
  <si>
    <t>QLDc1_NS1</t>
  </si>
  <si>
    <t>NS1</t>
  </si>
  <si>
    <t>G02</t>
  </si>
  <si>
    <t>G03</t>
  </si>
  <si>
    <t>G04</t>
  </si>
  <si>
    <t>Unkn-23</t>
  </si>
  <si>
    <t>QLDc3_TL4</t>
  </si>
  <si>
    <t>G05</t>
  </si>
  <si>
    <t>G06</t>
  </si>
  <si>
    <t>G07</t>
  </si>
  <si>
    <t>Unkn-39</t>
  </si>
  <si>
    <t>QLNc2_SH3</t>
  </si>
  <si>
    <t>SH3</t>
  </si>
  <si>
    <t>G08</t>
  </si>
  <si>
    <t>G09</t>
  </si>
  <si>
    <t>G10</t>
  </si>
  <si>
    <t>Unkn-55</t>
  </si>
  <si>
    <t>WKL1_T</t>
  </si>
  <si>
    <t>WKL_T</t>
  </si>
  <si>
    <t>G11</t>
  </si>
  <si>
    <t>G12</t>
  </si>
  <si>
    <t>G13</t>
  </si>
  <si>
    <t>G14</t>
  </si>
  <si>
    <t>G15</t>
  </si>
  <si>
    <t>H01</t>
  </si>
  <si>
    <t>Unkn-08</t>
  </si>
  <si>
    <t>QLDc1_NS2</t>
  </si>
  <si>
    <t>H02</t>
  </si>
  <si>
    <t>H03</t>
  </si>
  <si>
    <t>H04</t>
  </si>
  <si>
    <t>Unkn-24</t>
  </si>
  <si>
    <t>QLDc3_I</t>
  </si>
  <si>
    <t>H05</t>
  </si>
  <si>
    <t>H06</t>
  </si>
  <si>
    <t>H07</t>
  </si>
  <si>
    <t>Unkn-40</t>
  </si>
  <si>
    <t>QLNc2_SH4</t>
  </si>
  <si>
    <t>H08</t>
  </si>
  <si>
    <t>H09</t>
  </si>
  <si>
    <t>H10</t>
  </si>
  <si>
    <t>Unkn-56</t>
  </si>
  <si>
    <t>WKL1_B</t>
  </si>
  <si>
    <t>WKL_B</t>
  </si>
  <si>
    <t>H11</t>
  </si>
  <si>
    <t>H12</t>
  </si>
  <si>
    <t>I01</t>
  </si>
  <si>
    <t>Unkn-09</t>
  </si>
  <si>
    <t>QLDc1_NS3</t>
  </si>
  <si>
    <t>I02</t>
  </si>
  <si>
    <t>I03</t>
  </si>
  <si>
    <t>I04</t>
  </si>
  <si>
    <t>Unkn-25</t>
  </si>
  <si>
    <t>QLDc3_NS1</t>
  </si>
  <si>
    <t>I05</t>
  </si>
  <si>
    <t>I06</t>
  </si>
  <si>
    <t>I07</t>
  </si>
  <si>
    <t>Unkn-41</t>
  </si>
  <si>
    <t>QLNc2_SH5</t>
  </si>
  <si>
    <t>I08</t>
  </si>
  <si>
    <t>I09</t>
  </si>
  <si>
    <t>I10</t>
  </si>
  <si>
    <t>Unkn-57</t>
  </si>
  <si>
    <t>WKL2_T</t>
  </si>
  <si>
    <t>I11</t>
  </si>
  <si>
    <t>I12</t>
  </si>
  <si>
    <t>J01</t>
  </si>
  <si>
    <t>Unkn-10</t>
  </si>
  <si>
    <t>QLDc2_TS</t>
  </si>
  <si>
    <t>J02</t>
  </si>
  <si>
    <t>J03</t>
  </si>
  <si>
    <t>J04</t>
  </si>
  <si>
    <t>Unkn-26</t>
  </si>
  <si>
    <t>QLDc3_NS2</t>
  </si>
  <si>
    <t>J05</t>
  </si>
  <si>
    <t>J06</t>
  </si>
  <si>
    <t>J07</t>
  </si>
  <si>
    <t>Unkn-42</t>
  </si>
  <si>
    <t>QLNc2_LN1</t>
  </si>
  <si>
    <t>J08</t>
  </si>
  <si>
    <t>J09</t>
  </si>
  <si>
    <t>J10</t>
  </si>
  <si>
    <t>Unkn-58</t>
  </si>
  <si>
    <t>WKL2_B</t>
  </si>
  <si>
    <t>J11</t>
  </si>
  <si>
    <t>J12</t>
  </si>
  <si>
    <t>K01</t>
  </si>
  <si>
    <t>Unkn-11</t>
  </si>
  <si>
    <t>QLDc2_TL1</t>
  </si>
  <si>
    <t>K02</t>
  </si>
  <si>
    <t>K03</t>
  </si>
  <si>
    <t>K04</t>
  </si>
  <si>
    <t>Unkn-27</t>
  </si>
  <si>
    <t>QLDc3_NS3</t>
  </si>
  <si>
    <t>K05</t>
  </si>
  <si>
    <t>K06</t>
  </si>
  <si>
    <t>K07</t>
  </si>
  <si>
    <t>Unkn-43</t>
  </si>
  <si>
    <t>QLNc2_LN2</t>
  </si>
  <si>
    <t>K08</t>
  </si>
  <si>
    <t>K09</t>
  </si>
  <si>
    <t>K10</t>
  </si>
  <si>
    <t>Unkn-59</t>
  </si>
  <si>
    <t>WFL1_T</t>
  </si>
  <si>
    <t>WFL_T</t>
  </si>
  <si>
    <t>K11</t>
  </si>
  <si>
    <t>K12</t>
  </si>
  <si>
    <t>L01</t>
  </si>
  <si>
    <t>Unkn-12</t>
  </si>
  <si>
    <t>QLDc2_TL2</t>
  </si>
  <si>
    <t>L02</t>
  </si>
  <si>
    <t>L03</t>
  </si>
  <si>
    <t>L04</t>
  </si>
  <si>
    <t>Unkn-28</t>
  </si>
  <si>
    <t>QLNc1_SH1</t>
  </si>
  <si>
    <t>L05</t>
  </si>
  <si>
    <t>L06</t>
  </si>
  <si>
    <t>L07</t>
  </si>
  <si>
    <t>Unkn-44</t>
  </si>
  <si>
    <t>QLNc2_LN3</t>
  </si>
  <si>
    <t>L08</t>
  </si>
  <si>
    <t>L09</t>
  </si>
  <si>
    <t>L10</t>
  </si>
  <si>
    <t>Unkn-60</t>
  </si>
  <si>
    <t>WFL1_B</t>
  </si>
  <si>
    <t>WFL_B</t>
  </si>
  <si>
    <t>L11</t>
  </si>
  <si>
    <t>L12</t>
  </si>
  <si>
    <t>M01</t>
  </si>
  <si>
    <t>Unkn-13</t>
  </si>
  <si>
    <t>QLDc2_TL3</t>
  </si>
  <si>
    <t>M02</t>
  </si>
  <si>
    <t>M03</t>
  </si>
  <si>
    <t>M04</t>
  </si>
  <si>
    <t>Unkn-29</t>
  </si>
  <si>
    <t>QLNc1_SH2</t>
  </si>
  <si>
    <t>M05</t>
  </si>
  <si>
    <t>M06</t>
  </si>
  <si>
    <t>M07</t>
  </si>
  <si>
    <t>Unkn-45</t>
  </si>
  <si>
    <t>QLNc2_LN4</t>
  </si>
  <si>
    <t>M08</t>
  </si>
  <si>
    <t>M09</t>
  </si>
  <si>
    <t>M10</t>
  </si>
  <si>
    <t>Unkn-61</t>
  </si>
  <si>
    <t>WFL2_T</t>
  </si>
  <si>
    <t>M11</t>
  </si>
  <si>
    <t>M12</t>
  </si>
  <si>
    <t>N01</t>
  </si>
  <si>
    <t>Unkn-14</t>
  </si>
  <si>
    <t>QLDc2_TL4</t>
  </si>
  <si>
    <t>N02</t>
  </si>
  <si>
    <t>N03</t>
  </si>
  <si>
    <t>N04</t>
  </si>
  <si>
    <t>Unkn-30</t>
  </si>
  <si>
    <t>QLNc1_SH3</t>
  </si>
  <si>
    <t>N05</t>
  </si>
  <si>
    <t>N06</t>
  </si>
  <si>
    <t>N07</t>
  </si>
  <si>
    <t>Unkn-46</t>
  </si>
  <si>
    <t>QLNc3_SH1</t>
  </si>
  <si>
    <t>N08</t>
  </si>
  <si>
    <t>N09</t>
  </si>
  <si>
    <t>N10</t>
  </si>
  <si>
    <t>Unkn-62</t>
  </si>
  <si>
    <t>WFL2_B</t>
  </si>
  <si>
    <t>N11</t>
  </si>
  <si>
    <t>N12</t>
  </si>
  <si>
    <t>O01</t>
  </si>
  <si>
    <t>Unkn-15</t>
  </si>
  <si>
    <t>QLDc2_I</t>
  </si>
  <si>
    <t>O02</t>
  </si>
  <si>
    <t>O03</t>
  </si>
  <si>
    <t>O04</t>
  </si>
  <si>
    <t>Unkn-31</t>
  </si>
  <si>
    <t>QLNc1_SH4</t>
  </si>
  <si>
    <t>O05</t>
  </si>
  <si>
    <t>O06</t>
  </si>
  <si>
    <t>O07</t>
  </si>
  <si>
    <t>Unkn-47</t>
  </si>
  <si>
    <t>QLNc3_SH2</t>
  </si>
  <si>
    <t>O08</t>
  </si>
  <si>
    <t>O09</t>
  </si>
  <si>
    <t>O10</t>
  </si>
  <si>
    <t>Unkn-63</t>
  </si>
  <si>
    <t>Qiagen NTC</t>
  </si>
  <si>
    <t>O11</t>
  </si>
  <si>
    <t>O12</t>
  </si>
  <si>
    <t>P01</t>
  </si>
  <si>
    <t>Unkn-16</t>
  </si>
  <si>
    <t>QLDc2_NS1</t>
  </si>
  <si>
    <t>P02</t>
  </si>
  <si>
    <t>P03</t>
  </si>
  <si>
    <t>P04</t>
  </si>
  <si>
    <t>Unkn-32</t>
  </si>
  <si>
    <t>QLNc1_SH5</t>
  </si>
  <si>
    <t>P05</t>
  </si>
  <si>
    <t>P06</t>
  </si>
  <si>
    <t>P07</t>
  </si>
  <si>
    <t>Unkn-48</t>
  </si>
  <si>
    <t>QLNc3_SH3</t>
  </si>
  <si>
    <t>P08</t>
  </si>
  <si>
    <t>P09</t>
  </si>
  <si>
    <t>P10</t>
  </si>
  <si>
    <t>Unkn-64</t>
  </si>
  <si>
    <t>NTC</t>
  </si>
  <si>
    <t>P11</t>
  </si>
  <si>
    <t>P12</t>
  </si>
  <si>
    <t>File Name</t>
  </si>
  <si>
    <t>BAC_ASSAY_RAWqPCR_Full.pcrd</t>
  </si>
  <si>
    <t>Created By User</t>
  </si>
  <si>
    <t>PUBLIC</t>
  </si>
  <si>
    <t>Notes</t>
  </si>
  <si>
    <t>ID</t>
  </si>
  <si>
    <t>bac assay full</t>
  </si>
  <si>
    <t>Run Started</t>
  </si>
  <si>
    <t>04/09/2025 23:41:29 UTC</t>
  </si>
  <si>
    <t>Run Ended</t>
  </si>
  <si>
    <t>04/10/2025 01:20:46 UTC</t>
  </si>
  <si>
    <t>Sample Vol</t>
  </si>
  <si>
    <t>Lid Temp</t>
  </si>
  <si>
    <t>Protocol File Name</t>
  </si>
  <si>
    <t>Unknown.prcl</t>
  </si>
  <si>
    <t>Plate Setup File Name</t>
  </si>
  <si>
    <t>DefaultPlate.pltd</t>
  </si>
  <si>
    <t>Base Serial Number</t>
  </si>
  <si>
    <t>796BR02494</t>
  </si>
  <si>
    <t>Optical Head Serial Number</t>
  </si>
  <si>
    <t>CFX Maestro Version</t>
  </si>
  <si>
    <t xml:space="preserve">5.2.008.0222.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</si>
</sst>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0;\-###0.00"/>
    <numFmt numFmtId="165" formatCode="###0.000;\-###0.000"/>
    <numFmt numFmtId="167" formatCode="###0.0;\-###0.0"/>
    <numFmt numFmtId="168" formatCode="###0;\-###0"/>
  </numFmts>
  <fonts count="24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27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0" fontId="6" fillId="0" borderId="0" xfId="0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49" fontId="9" fillId="0" borderId="0" xfId="0" applyNumberFormat="1" applyFont="1" applyAlignment="1" applyProtection="1">
      <alignment vertical="center"/>
    </xf>
    <xf numFmtId="164" fontId="10" fillId="0" borderId="0" xfId="0" applyNumberFormat="1" applyFont="1" applyAlignment="1" applyProtection="1">
      <alignment vertical="center"/>
    </xf>
    <xf numFmtId="165" fontId="11" fillId="0" borderId="0" xfId="0" applyNumberFormat="1" applyFont="1" applyAlignment="1" applyProtection="1">
      <alignment vertical="center"/>
    </xf>
    <xf numFmtId="167" fontId="13" fillId="0" borderId="0" xfId="0" applyNumberFormat="1" applyFont="1" applyAlignment="1" applyProtection="1">
      <alignment vertical="center"/>
    </xf>
    <xf numFmtId="49" fontId="14" fillId="0" borderId="0" xfId="0" applyNumberFormat="1" applyFont="1" applyAlignment="1" applyProtection="1">
      <alignment vertical="center"/>
    </xf>
    <xf numFmtId="49" fontId="15" fillId="0" borderId="0" xfId="0" applyNumberFormat="1" applyFont="1" applyAlignment="1" applyProtection="1">
      <alignment vertical="center"/>
    </xf>
    <xf numFmtId="49" fontId="16" fillId="0" borderId="0" xfId="0" applyNumberFormat="1" applyFont="1" applyAlignment="1" applyProtection="1">
      <alignment vertical="center"/>
    </xf>
    <xf numFmtId="164" fontId="17" fillId="0" borderId="0" xfId="0" applyNumberFormat="1" applyFont="1" applyAlignment="1" applyProtection="1">
      <alignment vertical="center"/>
    </xf>
    <xf numFmtId="165" fontId="18" fillId="0" borderId="0" xfId="0" applyNumberFormat="1" applyFont="1" applyAlignment="1" applyProtection="1">
      <alignment vertical="center"/>
    </xf>
    <xf numFmtId="167" fontId="20" fillId="0" borderId="0" xfId="0" applyNumberFormat="1" applyFont="1" applyAlignment="1" applyProtection="1">
      <alignment vertical="center"/>
    </xf>
    <xf numFmtId="49" fontId="21" fillId="0" borderId="0" xfId="0" applyNumberFormat="1" applyFont="1">
      <alignment vertical="top"/>
      <protection locked="0"/>
    </xf>
    <xf numFmtId="0" fontId="22" fillId="0" borderId="0" xfId="0" applyFont="1">
      <alignment vertical="top"/>
      <protection locked="0"/>
    </xf>
    <xf numFmtId="168" fontId="23" fillId="0" borderId="0" xfId="0" applyNumberFormat="1" applyFont="1" applyAlignment="1">
      <alignment horizontal="left" vertical="top"/>
      <protection locked="0"/>
    </xf>
    <xf numFmtId="49" fontId="0" fillId="0" borderId="0" xfId="0" applyNumberFormat="1" applyFont="1" applyAlignment="1" applyProtection="1">
      <alignment vertical="center"/>
    </xf>
    <xf numFmtId="11" fontId="3" fillId="2" borderId="0" xfId="0" applyNumberFormat="1" applyFont="1" applyFill="1" applyAlignment="1">
      <alignment horizontal="center" vertical="center" wrapText="1"/>
      <protection locked="0"/>
    </xf>
    <xf numFmtId="11" fontId="12" fillId="0" borderId="0" xfId="0" applyNumberFormat="1" applyFont="1" applyAlignment="1" applyProtection="1">
      <alignment vertical="center"/>
    </xf>
    <xf numFmtId="11" fontId="19" fillId="0" borderId="0" xfId="0" applyNumberFormat="1" applyFont="1" applyAlignment="1" applyProtection="1">
      <alignment vertical="center"/>
    </xf>
    <xf numFmtId="11" fontId="1" fillId="0" borderId="0" xfId="0" applyNumberFormat="1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2"/>
  <sheetViews>
    <sheetView tabSelected="1" workbookViewId="0">
      <pane xSplit="1" ySplit="1" topLeftCell="B61" activePane="bottomRight" state="frozen"/>
      <selection activeCell="B2" sqref="B2"/>
      <selection pane="topRight" activeCell="B2" sqref="B2"/>
      <selection pane="bottomLeft" activeCell="B2" sqref="B2"/>
      <selection pane="bottomRight" activeCell="Q63" sqref="Q63"/>
    </sheetView>
  </sheetViews>
  <sheetFormatPr defaultColWidth="10" defaultRowHeight="15" customHeight="1" x14ac:dyDescent="0.2"/>
  <cols>
    <col min="1" max="1" width="1.5" style="4" customWidth="1"/>
    <col min="2" max="2" width="10" style="13" customWidth="1"/>
    <col min="3" max="3" width="10" style="14" customWidth="1"/>
    <col min="4" max="4" width="13.375" style="15" customWidth="1"/>
    <col min="5" max="5" width="11.625" style="15" customWidth="1"/>
    <col min="6" max="6" width="10.75" style="15" customWidth="1"/>
    <col min="7" max="7" width="15" style="15" hidden="1" customWidth="1"/>
    <col min="8" max="8" width="15" style="16" hidden="1" customWidth="1"/>
    <col min="9" max="9" width="13.375" style="16" hidden="1" customWidth="1"/>
    <col min="10" max="10" width="15" style="17" hidden="1" customWidth="1"/>
    <col min="11" max="11" width="18.375" style="25" customWidth="1"/>
    <col min="12" max="12" width="1.75" style="17" hidden="1" customWidth="1"/>
    <col min="13" max="14" width="18.375" style="25" customWidth="1"/>
    <col min="15" max="15" width="10" style="18" hidden="1" customWidth="1"/>
    <col min="16" max="16" width="18.375" style="15" hidden="1" customWidth="1"/>
    <col min="17" max="17" width="10" style="1" customWidth="1"/>
    <col min="18" max="16384" width="10" style="1"/>
  </cols>
  <sheetData>
    <row r="1" spans="1:16" s="2" customFormat="1" ht="30" customHeight="1" x14ac:dyDescent="0.2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3" t="s">
        <v>9</v>
      </c>
      <c r="L1" s="3" t="s">
        <v>10</v>
      </c>
      <c r="M1" s="23" t="s">
        <v>11</v>
      </c>
      <c r="N1" s="23" t="s">
        <v>12</v>
      </c>
      <c r="O1" s="3" t="s">
        <v>13</v>
      </c>
      <c r="P1" s="3" t="s">
        <v>14</v>
      </c>
    </row>
    <row r="2" spans="1:16" s="6" customFormat="1" ht="15" customHeight="1" x14ac:dyDescent="0.2">
      <c r="A2" s="4"/>
      <c r="B2" s="7" t="s">
        <v>15</v>
      </c>
      <c r="C2" s="8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10">
        <v>14.059259597332501</v>
      </c>
      <c r="I2" s="10">
        <v>14.3027051552074</v>
      </c>
      <c r="J2" s="11">
        <v>0.253416101649935</v>
      </c>
      <c r="K2" s="24">
        <v>614018.67677776504</v>
      </c>
      <c r="L2" s="11">
        <v>5.78818158139876</v>
      </c>
      <c r="M2" s="24">
        <v>524521.82366368803</v>
      </c>
      <c r="N2" s="24">
        <v>90280.601661851601</v>
      </c>
      <c r="O2" s="12">
        <v>72</v>
      </c>
      <c r="P2" s="9" t="s">
        <v>17</v>
      </c>
    </row>
    <row r="3" spans="1:16" s="6" customFormat="1" ht="15" customHeight="1" x14ac:dyDescent="0.2">
      <c r="A3" s="4"/>
      <c r="B3" s="7" t="s">
        <v>21</v>
      </c>
      <c r="C3" s="8" t="s">
        <v>16</v>
      </c>
      <c r="D3" s="9" t="s">
        <v>17</v>
      </c>
      <c r="E3" s="9" t="s">
        <v>18</v>
      </c>
      <c r="F3" s="22" t="s">
        <v>19</v>
      </c>
      <c r="G3" s="9" t="s">
        <v>20</v>
      </c>
      <c r="H3" s="10">
        <v>14.5650352449032</v>
      </c>
      <c r="I3" s="10">
        <v>14.3027051552074</v>
      </c>
      <c r="J3" s="11">
        <v>0.253416101649935</v>
      </c>
      <c r="K3" s="24">
        <v>433477.37137620599</v>
      </c>
      <c r="L3" s="11">
        <v>5.6369664311249101</v>
      </c>
      <c r="M3" s="24">
        <v>524521.82366368803</v>
      </c>
      <c r="N3" s="24">
        <v>90280.601661851601</v>
      </c>
      <c r="O3" s="12">
        <v>72</v>
      </c>
      <c r="P3" s="9" t="s">
        <v>17</v>
      </c>
    </row>
    <row r="4" spans="1:16" s="6" customFormat="1" ht="15" customHeight="1" x14ac:dyDescent="0.2">
      <c r="A4" s="4"/>
      <c r="B4" s="7" t="s">
        <v>22</v>
      </c>
      <c r="C4" s="8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10">
        <v>14.2838206233865</v>
      </c>
      <c r="I4" s="10">
        <v>14.3027051552074</v>
      </c>
      <c r="J4" s="11">
        <v>0.253416101649935</v>
      </c>
      <c r="K4" s="24">
        <v>526069.42283709405</v>
      </c>
      <c r="L4" s="11">
        <v>5.7210430596777098</v>
      </c>
      <c r="M4" s="24">
        <v>524521.82366368803</v>
      </c>
      <c r="N4" s="24">
        <v>90280.601661851601</v>
      </c>
      <c r="O4" s="12">
        <v>72</v>
      </c>
      <c r="P4" s="9" t="s">
        <v>17</v>
      </c>
    </row>
    <row r="5" spans="1:16" s="6" customFormat="1" ht="15" customHeight="1" x14ac:dyDescent="0.2">
      <c r="A5" s="4"/>
      <c r="B5" s="7" t="s">
        <v>23</v>
      </c>
      <c r="C5" s="8" t="s">
        <v>16</v>
      </c>
      <c r="D5" s="9" t="s">
        <v>17</v>
      </c>
      <c r="E5" s="9" t="s">
        <v>24</v>
      </c>
      <c r="F5" s="9" t="s">
        <v>25</v>
      </c>
      <c r="G5" s="9" t="s">
        <v>26</v>
      </c>
      <c r="H5" s="10">
        <v>16.613341689147902</v>
      </c>
      <c r="I5" s="10">
        <v>16.990765411671902</v>
      </c>
      <c r="J5" s="11">
        <v>0.381799868194514</v>
      </c>
      <c r="K5" s="24">
        <v>105820.65957390099</v>
      </c>
      <c r="L5" s="11">
        <v>5.0245704641362501</v>
      </c>
      <c r="M5" s="24">
        <v>83491.905621998696</v>
      </c>
      <c r="N5" s="24">
        <v>21662.917543404299</v>
      </c>
      <c r="O5" s="18">
        <v>72</v>
      </c>
      <c r="P5" s="15" t="s">
        <v>17</v>
      </c>
    </row>
    <row r="6" spans="1:16" s="6" customFormat="1" ht="15" customHeight="1" x14ac:dyDescent="0.2">
      <c r="A6" s="4"/>
      <c r="B6" s="7" t="s">
        <v>27</v>
      </c>
      <c r="C6" s="8" t="s">
        <v>16</v>
      </c>
      <c r="D6" s="9" t="s">
        <v>17</v>
      </c>
      <c r="E6" s="9" t="s">
        <v>24</v>
      </c>
      <c r="F6" s="9" t="s">
        <v>25</v>
      </c>
      <c r="G6" s="9" t="s">
        <v>26</v>
      </c>
      <c r="H6" s="10">
        <v>16.982158648343098</v>
      </c>
      <c r="I6" s="10">
        <v>16.990765411671902</v>
      </c>
      <c r="J6" s="11">
        <v>0.381799868194514</v>
      </c>
      <c r="K6" s="24">
        <v>82092.366417812795</v>
      </c>
      <c r="L6" s="11">
        <v>4.9143027749421702</v>
      </c>
      <c r="M6" s="24">
        <v>83491.905621998696</v>
      </c>
      <c r="N6" s="24">
        <v>21662.917543404299</v>
      </c>
      <c r="O6" s="18">
        <v>72</v>
      </c>
      <c r="P6" s="15" t="s">
        <v>17</v>
      </c>
    </row>
    <row r="7" spans="1:16" s="6" customFormat="1" ht="15" customHeight="1" x14ac:dyDescent="0.2">
      <c r="A7" s="4"/>
      <c r="B7" s="7" t="s">
        <v>28</v>
      </c>
      <c r="C7" s="8" t="s">
        <v>16</v>
      </c>
      <c r="D7" s="9" t="s">
        <v>17</v>
      </c>
      <c r="E7" s="9" t="s">
        <v>24</v>
      </c>
      <c r="F7" s="9" t="s">
        <v>25</v>
      </c>
      <c r="G7" s="9" t="s">
        <v>26</v>
      </c>
      <c r="H7" s="10">
        <v>17.376795897524801</v>
      </c>
      <c r="I7" s="10">
        <v>16.990765411671902</v>
      </c>
      <c r="J7" s="11">
        <v>0.381799868194514</v>
      </c>
      <c r="K7" s="24">
        <v>62562.690874282402</v>
      </c>
      <c r="L7" s="11">
        <v>4.7963154198267297</v>
      </c>
      <c r="M7" s="24">
        <v>83491.905621998696</v>
      </c>
      <c r="N7" s="24">
        <v>21662.917543404299</v>
      </c>
      <c r="O7" s="18">
        <v>72</v>
      </c>
      <c r="P7" s="15" t="s">
        <v>17</v>
      </c>
    </row>
    <row r="8" spans="1:16" s="6" customFormat="1" ht="15" customHeight="1" x14ac:dyDescent="0.2">
      <c r="A8" s="4"/>
      <c r="B8" s="7" t="s">
        <v>29</v>
      </c>
      <c r="C8" s="8" t="s">
        <v>16</v>
      </c>
      <c r="D8" s="9" t="s">
        <v>17</v>
      </c>
      <c r="E8" s="9" t="s">
        <v>30</v>
      </c>
      <c r="F8" s="9" t="s">
        <v>31</v>
      </c>
      <c r="G8" s="9" t="s">
        <v>32</v>
      </c>
      <c r="H8" s="10">
        <v>17.605651206885</v>
      </c>
      <c r="I8" s="10">
        <v>17.713393089399499</v>
      </c>
      <c r="J8" s="11">
        <v>0.10965497779359</v>
      </c>
      <c r="K8" s="24">
        <v>53443.268047117301</v>
      </c>
      <c r="L8" s="11">
        <v>4.7278930073161796</v>
      </c>
      <c r="M8" s="24">
        <v>49716.917031584897</v>
      </c>
      <c r="N8" s="24">
        <v>3743.18074027697</v>
      </c>
      <c r="O8" s="18">
        <v>72</v>
      </c>
      <c r="P8" s="15" t="s">
        <v>17</v>
      </c>
    </row>
    <row r="9" spans="1:16" s="6" customFormat="1" ht="15" customHeight="1" x14ac:dyDescent="0.2">
      <c r="A9" s="4"/>
      <c r="B9" s="7" t="s">
        <v>33</v>
      </c>
      <c r="C9" s="8" t="s">
        <v>16</v>
      </c>
      <c r="D9" s="9" t="s">
        <v>17</v>
      </c>
      <c r="E9" s="9" t="s">
        <v>30</v>
      </c>
      <c r="F9" s="9" t="s">
        <v>31</v>
      </c>
      <c r="G9" s="9" t="s">
        <v>32</v>
      </c>
      <c r="H9" s="10">
        <v>17.824865933568699</v>
      </c>
      <c r="I9" s="10">
        <v>17.713393089399499</v>
      </c>
      <c r="J9" s="11">
        <v>0.10965497779359</v>
      </c>
      <c r="K9" s="24">
        <v>45957.1305631414</v>
      </c>
      <c r="L9" s="11">
        <v>4.66235290470952</v>
      </c>
      <c r="M9" s="24">
        <v>49716.917031584897</v>
      </c>
      <c r="N9" s="24">
        <v>3743.18074027697</v>
      </c>
      <c r="O9" s="18">
        <v>72</v>
      </c>
      <c r="P9" s="15" t="s">
        <v>17</v>
      </c>
    </row>
    <row r="10" spans="1:16" s="6" customFormat="1" ht="15" customHeight="1" x14ac:dyDescent="0.2">
      <c r="A10" s="4"/>
      <c r="B10" s="7" t="s">
        <v>34</v>
      </c>
      <c r="C10" s="8" t="s">
        <v>16</v>
      </c>
      <c r="D10" s="9" t="s">
        <v>17</v>
      </c>
      <c r="E10" s="9" t="s">
        <v>30</v>
      </c>
      <c r="F10" s="9" t="s">
        <v>31</v>
      </c>
      <c r="G10" s="9" t="s">
        <v>32</v>
      </c>
      <c r="H10" s="10">
        <v>17.7096621277447</v>
      </c>
      <c r="I10" s="10">
        <v>17.713393089399499</v>
      </c>
      <c r="J10" s="11">
        <v>0.10965497779359</v>
      </c>
      <c r="K10" s="24">
        <v>49750.352484495801</v>
      </c>
      <c r="L10" s="11">
        <v>4.6967961620974101</v>
      </c>
      <c r="M10" s="24">
        <v>49716.917031584897</v>
      </c>
      <c r="N10" s="24">
        <v>3743.18074027697</v>
      </c>
      <c r="O10" s="18">
        <v>72</v>
      </c>
      <c r="P10" s="15" t="s">
        <v>17</v>
      </c>
    </row>
    <row r="11" spans="1:16" s="6" customFormat="1" ht="15" customHeight="1" x14ac:dyDescent="0.2">
      <c r="A11" s="4"/>
      <c r="B11" s="7" t="s">
        <v>35</v>
      </c>
      <c r="C11" s="8" t="s">
        <v>16</v>
      </c>
      <c r="D11" s="9" t="s">
        <v>17</v>
      </c>
      <c r="E11" s="9" t="s">
        <v>36</v>
      </c>
      <c r="F11" s="9" t="s">
        <v>37</v>
      </c>
      <c r="G11" s="9" t="s">
        <v>38</v>
      </c>
      <c r="H11" s="10">
        <v>16.429202523482399</v>
      </c>
      <c r="I11" s="10">
        <v>16.396834930316999</v>
      </c>
      <c r="J11" s="11">
        <v>7.0656179772452102E-2</v>
      </c>
      <c r="K11" s="24">
        <v>120122.34177220501</v>
      </c>
      <c r="L11" s="11">
        <v>5.07962379013395</v>
      </c>
      <c r="M11" s="24">
        <v>122926.750169295</v>
      </c>
      <c r="N11" s="24">
        <v>6055.8777844873603</v>
      </c>
      <c r="O11" s="18">
        <v>72</v>
      </c>
      <c r="P11" s="15" t="s">
        <v>17</v>
      </c>
    </row>
    <row r="12" spans="1:16" s="6" customFormat="1" ht="15" customHeight="1" x14ac:dyDescent="0.2">
      <c r="A12" s="4"/>
      <c r="B12" s="7" t="s">
        <v>39</v>
      </c>
      <c r="C12" s="8" t="s">
        <v>16</v>
      </c>
      <c r="D12" s="9" t="s">
        <v>17</v>
      </c>
      <c r="E12" s="9" t="s">
        <v>36</v>
      </c>
      <c r="F12" s="9" t="s">
        <v>37</v>
      </c>
      <c r="G12" s="9" t="s">
        <v>38</v>
      </c>
      <c r="H12" s="10">
        <v>16.315793212671799</v>
      </c>
      <c r="I12" s="10">
        <v>16.396834930316999</v>
      </c>
      <c r="J12" s="11">
        <v>7.0656179772452102E-2</v>
      </c>
      <c r="K12" s="24">
        <v>129876.487684315</v>
      </c>
      <c r="L12" s="11">
        <v>5.1135305352669702</v>
      </c>
      <c r="M12" s="24">
        <v>122926.750169295</v>
      </c>
      <c r="N12" s="24">
        <v>6055.8777844873603</v>
      </c>
      <c r="O12" s="18">
        <v>72</v>
      </c>
      <c r="P12" s="15" t="s">
        <v>17</v>
      </c>
    </row>
    <row r="13" spans="1:16" s="6" customFormat="1" ht="15" customHeight="1" x14ac:dyDescent="0.2">
      <c r="A13" s="4"/>
      <c r="B13" s="7" t="s">
        <v>40</v>
      </c>
      <c r="C13" s="8" t="s">
        <v>16</v>
      </c>
      <c r="D13" s="9" t="s">
        <v>17</v>
      </c>
      <c r="E13" s="9" t="s">
        <v>36</v>
      </c>
      <c r="F13" s="9" t="s">
        <v>37</v>
      </c>
      <c r="G13" s="9" t="s">
        <v>38</v>
      </c>
      <c r="H13" s="10">
        <v>16.445509054796801</v>
      </c>
      <c r="I13" s="10">
        <v>16.396834930316999</v>
      </c>
      <c r="J13" s="11">
        <v>7.0656179772452102E-2</v>
      </c>
      <c r="K13" s="24">
        <v>118781.42105136599</v>
      </c>
      <c r="L13" s="11">
        <v>5.0747485166900796</v>
      </c>
      <c r="M13" s="24">
        <v>122926.750169295</v>
      </c>
      <c r="N13" s="24">
        <v>6055.8777844873603</v>
      </c>
      <c r="O13" s="18">
        <v>72</v>
      </c>
      <c r="P13" s="15" t="s">
        <v>17</v>
      </c>
    </row>
    <row r="14" spans="1:16" s="6" customFormat="1" ht="15" customHeight="1" x14ac:dyDescent="0.2">
      <c r="A14" s="4"/>
      <c r="B14" s="7" t="s">
        <v>41</v>
      </c>
      <c r="C14" s="8" t="s">
        <v>16</v>
      </c>
      <c r="D14" s="9" t="s">
        <v>17</v>
      </c>
      <c r="E14" s="9" t="s">
        <v>42</v>
      </c>
      <c r="F14" s="9" t="s">
        <v>43</v>
      </c>
      <c r="G14" s="9" t="s">
        <v>44</v>
      </c>
      <c r="H14" s="10">
        <v>23.017156887351</v>
      </c>
      <c r="I14" s="10">
        <v>23.399615092973399</v>
      </c>
      <c r="J14" s="11">
        <v>0.46834158271460702</v>
      </c>
      <c r="K14" s="24">
        <v>1288.1864402656299</v>
      </c>
      <c r="L14" s="11">
        <v>3.1099787233645202</v>
      </c>
      <c r="M14" s="24">
        <v>1023.07882520698</v>
      </c>
      <c r="N14" s="24">
        <v>304.18915599522398</v>
      </c>
      <c r="O14" s="12">
        <v>72</v>
      </c>
      <c r="P14" s="9" t="s">
        <v>17</v>
      </c>
    </row>
    <row r="15" spans="1:16" s="6" customFormat="1" ht="15" customHeight="1" x14ac:dyDescent="0.2">
      <c r="A15" s="4"/>
      <c r="B15" s="7" t="s">
        <v>45</v>
      </c>
      <c r="C15" s="8" t="s">
        <v>16</v>
      </c>
      <c r="D15" s="9" t="s">
        <v>17</v>
      </c>
      <c r="E15" s="9" t="s">
        <v>42</v>
      </c>
      <c r="F15" s="9" t="s">
        <v>43</v>
      </c>
      <c r="G15" s="9" t="s">
        <v>44</v>
      </c>
      <c r="H15" s="10">
        <v>23.9219606840689</v>
      </c>
      <c r="I15" s="10">
        <v>23.399615092973399</v>
      </c>
      <c r="J15" s="11">
        <v>0.46834158271460702</v>
      </c>
      <c r="K15" s="24">
        <v>690.97676047273399</v>
      </c>
      <c r="L15" s="11">
        <v>2.8394634410526698</v>
      </c>
      <c r="M15" s="24">
        <v>1023.07882520698</v>
      </c>
      <c r="N15" s="24">
        <v>304.18915599522398</v>
      </c>
      <c r="O15" s="12">
        <v>72</v>
      </c>
      <c r="P15" s="9" t="s">
        <v>17</v>
      </c>
    </row>
    <row r="16" spans="1:16" s="6" customFormat="1" ht="15" customHeight="1" x14ac:dyDescent="0.2">
      <c r="A16" s="4"/>
      <c r="B16" s="7" t="s">
        <v>46</v>
      </c>
      <c r="C16" s="8" t="s">
        <v>16</v>
      </c>
      <c r="D16" s="9" t="s">
        <v>17</v>
      </c>
      <c r="E16" s="9" t="s">
        <v>42</v>
      </c>
      <c r="F16" s="9" t="s">
        <v>43</v>
      </c>
      <c r="G16" s="9" t="s">
        <v>44</v>
      </c>
      <c r="H16" s="10">
        <v>23.2597277075003</v>
      </c>
      <c r="I16" s="10">
        <v>23.399615092973399</v>
      </c>
      <c r="J16" s="11">
        <v>0.46834158271460702</v>
      </c>
      <c r="K16" s="24">
        <v>1090.0732748825801</v>
      </c>
      <c r="L16" s="11">
        <v>3.0374556922595</v>
      </c>
      <c r="M16" s="24">
        <v>1023.07882520698</v>
      </c>
      <c r="N16" s="24">
        <v>304.18915599522398</v>
      </c>
      <c r="O16" s="12">
        <v>72</v>
      </c>
      <c r="P16" s="9" t="s">
        <v>17</v>
      </c>
    </row>
    <row r="17" spans="1:16" s="6" customFormat="1" ht="15" customHeight="1" x14ac:dyDescent="0.2">
      <c r="A17" s="4"/>
      <c r="B17" s="7" t="s">
        <v>47</v>
      </c>
      <c r="C17" s="8" t="s">
        <v>16</v>
      </c>
      <c r="D17" s="9" t="s">
        <v>17</v>
      </c>
      <c r="E17" s="9" t="s">
        <v>48</v>
      </c>
      <c r="F17" s="9" t="s">
        <v>49</v>
      </c>
      <c r="G17" s="9" t="s">
        <v>50</v>
      </c>
      <c r="H17" s="10">
        <v>17.617446331929301</v>
      </c>
      <c r="I17" s="10">
        <v>17.722865175368199</v>
      </c>
      <c r="J17" s="11">
        <v>0.33688492267099202</v>
      </c>
      <c r="K17" s="24">
        <v>53011.066223391201</v>
      </c>
      <c r="L17" s="11">
        <v>4.7243665393759899</v>
      </c>
      <c r="M17" s="24">
        <v>50159.0033431802</v>
      </c>
      <c r="N17" s="24">
        <v>10983.269350009101</v>
      </c>
      <c r="O17" s="18">
        <v>72</v>
      </c>
      <c r="P17" s="15" t="s">
        <v>17</v>
      </c>
    </row>
    <row r="18" spans="1:16" s="6" customFormat="1" ht="15" customHeight="1" x14ac:dyDescent="0.2">
      <c r="A18" s="4"/>
      <c r="B18" s="7" t="s">
        <v>51</v>
      </c>
      <c r="C18" s="8" t="s">
        <v>16</v>
      </c>
      <c r="D18" s="9" t="s">
        <v>17</v>
      </c>
      <c r="E18" s="9" t="s">
        <v>48</v>
      </c>
      <c r="F18" s="9" t="s">
        <v>49</v>
      </c>
      <c r="G18" s="9" t="s">
        <v>50</v>
      </c>
      <c r="H18" s="10">
        <v>17.451296010515701</v>
      </c>
      <c r="I18" s="10">
        <v>17.722865175368199</v>
      </c>
      <c r="J18" s="11">
        <v>0.33688492267099202</v>
      </c>
      <c r="K18" s="24">
        <v>59434.911381988801</v>
      </c>
      <c r="L18" s="11">
        <v>4.7740416195054696</v>
      </c>
      <c r="M18" s="24">
        <v>50159.0033431802</v>
      </c>
      <c r="N18" s="24">
        <v>10983.269350009101</v>
      </c>
      <c r="O18" s="18">
        <v>72</v>
      </c>
      <c r="P18" s="15" t="s">
        <v>17</v>
      </c>
    </row>
    <row r="19" spans="1:16" s="6" customFormat="1" ht="15" customHeight="1" x14ac:dyDescent="0.2">
      <c r="A19" s="4"/>
      <c r="B19" s="7" t="s">
        <v>52</v>
      </c>
      <c r="C19" s="8" t="s">
        <v>16</v>
      </c>
      <c r="D19" s="9" t="s">
        <v>17</v>
      </c>
      <c r="E19" s="9" t="s">
        <v>48</v>
      </c>
      <c r="F19" s="9" t="s">
        <v>49</v>
      </c>
      <c r="G19" s="9" t="s">
        <v>50</v>
      </c>
      <c r="H19" s="10">
        <v>18.099853183659501</v>
      </c>
      <c r="I19" s="10">
        <v>17.722865175368199</v>
      </c>
      <c r="J19" s="11">
        <v>0.33688492267099202</v>
      </c>
      <c r="K19" s="24">
        <v>38031.032424160498</v>
      </c>
      <c r="L19" s="11">
        <v>4.58013811531508</v>
      </c>
      <c r="M19" s="24">
        <v>50159.0033431802</v>
      </c>
      <c r="N19" s="24">
        <v>10983.269350009101</v>
      </c>
      <c r="O19" s="18">
        <v>72</v>
      </c>
      <c r="P19" s="15" t="s">
        <v>17</v>
      </c>
    </row>
    <row r="20" spans="1:16" s="6" customFormat="1" ht="15" customHeight="1" x14ac:dyDescent="0.2">
      <c r="A20" s="4"/>
      <c r="B20" s="7" t="s">
        <v>53</v>
      </c>
      <c r="C20" s="8" t="s">
        <v>16</v>
      </c>
      <c r="D20" s="9" t="s">
        <v>17</v>
      </c>
      <c r="E20" s="9" t="s">
        <v>54</v>
      </c>
      <c r="F20" s="9" t="s">
        <v>55</v>
      </c>
      <c r="G20" s="9" t="s">
        <v>56</v>
      </c>
      <c r="H20" s="10">
        <v>18.467880946487899</v>
      </c>
      <c r="I20" s="10">
        <v>18.388118579162999</v>
      </c>
      <c r="J20" s="11">
        <v>0.100366057370295</v>
      </c>
      <c r="K20" s="24">
        <v>29519.321937802299</v>
      </c>
      <c r="L20" s="11">
        <v>4.4701063774716996</v>
      </c>
      <c r="M20" s="24">
        <v>31235.702670680599</v>
      </c>
      <c r="N20" s="24">
        <v>2189.34055698066</v>
      </c>
      <c r="O20" s="18">
        <v>72</v>
      </c>
      <c r="P20" s="15" t="s">
        <v>17</v>
      </c>
    </row>
    <row r="21" spans="1:16" s="6" customFormat="1" ht="15" customHeight="1" x14ac:dyDescent="0.2">
      <c r="A21" s="4"/>
      <c r="B21" s="7" t="s">
        <v>57</v>
      </c>
      <c r="C21" s="8" t="s">
        <v>16</v>
      </c>
      <c r="D21" s="9" t="s">
        <v>17</v>
      </c>
      <c r="E21" s="9" t="s">
        <v>54</v>
      </c>
      <c r="F21" s="9" t="s">
        <v>55</v>
      </c>
      <c r="G21" s="9" t="s">
        <v>56</v>
      </c>
      <c r="H21" s="10">
        <v>18.421050986547101</v>
      </c>
      <c r="I21" s="10">
        <v>18.388118579162999</v>
      </c>
      <c r="J21" s="11">
        <v>0.100366057370295</v>
      </c>
      <c r="K21" s="24">
        <v>30486.491419821301</v>
      </c>
      <c r="L21" s="11">
        <v>4.4841074458580197</v>
      </c>
      <c r="M21" s="24">
        <v>31235.702670680599</v>
      </c>
      <c r="N21" s="24">
        <v>2189.34055698066</v>
      </c>
      <c r="O21" s="18">
        <v>72</v>
      </c>
      <c r="P21" s="15" t="s">
        <v>17</v>
      </c>
    </row>
    <row r="22" spans="1:16" s="6" customFormat="1" ht="15" customHeight="1" x14ac:dyDescent="0.2">
      <c r="A22" s="4"/>
      <c r="B22" s="7" t="s">
        <v>58</v>
      </c>
      <c r="C22" s="8" t="s">
        <v>16</v>
      </c>
      <c r="D22" s="9" t="s">
        <v>17</v>
      </c>
      <c r="E22" s="9" t="s">
        <v>54</v>
      </c>
      <c r="F22" s="9" t="s">
        <v>55</v>
      </c>
      <c r="G22" s="9" t="s">
        <v>56</v>
      </c>
      <c r="H22" s="10">
        <v>18.275423804453901</v>
      </c>
      <c r="I22" s="10">
        <v>18.388118579162999</v>
      </c>
      <c r="J22" s="11">
        <v>0.100366057370295</v>
      </c>
      <c r="K22" s="24">
        <v>33701.294654418103</v>
      </c>
      <c r="L22" s="11">
        <v>4.5276465848615404</v>
      </c>
      <c r="M22" s="24">
        <v>31235.702670680599</v>
      </c>
      <c r="N22" s="24">
        <v>2189.34055698066</v>
      </c>
      <c r="O22" s="18">
        <v>72</v>
      </c>
      <c r="P22" s="15" t="s">
        <v>17</v>
      </c>
    </row>
    <row r="23" spans="1:16" s="6" customFormat="1" ht="15" customHeight="1" x14ac:dyDescent="0.2">
      <c r="A23" s="4"/>
      <c r="B23" s="7" t="s">
        <v>59</v>
      </c>
      <c r="C23" s="8" t="s">
        <v>16</v>
      </c>
      <c r="D23" s="9" t="s">
        <v>17</v>
      </c>
      <c r="E23" s="9" t="s">
        <v>60</v>
      </c>
      <c r="F23" s="9" t="s">
        <v>61</v>
      </c>
      <c r="G23" s="9" t="s">
        <v>62</v>
      </c>
      <c r="H23" s="10">
        <v>16.890605403969801</v>
      </c>
      <c r="I23" s="10">
        <v>16.9003802656744</v>
      </c>
      <c r="J23" s="11">
        <v>6.3116361977554797E-2</v>
      </c>
      <c r="K23" s="24">
        <v>87432.936504078694</v>
      </c>
      <c r="L23" s="11">
        <v>4.9416750647557803</v>
      </c>
      <c r="M23" s="24">
        <v>86901.040600482404</v>
      </c>
      <c r="N23" s="24">
        <v>3756.37566016151</v>
      </c>
      <c r="O23" s="18">
        <v>72</v>
      </c>
      <c r="P23" s="15" t="s">
        <v>17</v>
      </c>
    </row>
    <row r="24" spans="1:16" s="6" customFormat="1" ht="15" customHeight="1" x14ac:dyDescent="0.2">
      <c r="A24" s="4"/>
      <c r="B24" s="7" t="s">
        <v>63</v>
      </c>
      <c r="C24" s="8" t="s">
        <v>16</v>
      </c>
      <c r="D24" s="9" t="s">
        <v>17</v>
      </c>
      <c r="E24" s="9" t="s">
        <v>60</v>
      </c>
      <c r="F24" s="9" t="s">
        <v>61</v>
      </c>
      <c r="G24" s="9" t="s">
        <v>62</v>
      </c>
      <c r="H24" s="10">
        <v>16.842721599859701</v>
      </c>
      <c r="I24" s="10">
        <v>16.9003802656744</v>
      </c>
      <c r="J24" s="11">
        <v>6.3116361977554797E-2</v>
      </c>
      <c r="K24" s="24">
        <v>90363.118018911395</v>
      </c>
      <c r="L24" s="11">
        <v>4.95599120802793</v>
      </c>
      <c r="M24" s="24">
        <v>86901.040600482404</v>
      </c>
      <c r="N24" s="24">
        <v>3756.37566016151</v>
      </c>
      <c r="O24" s="18">
        <v>72</v>
      </c>
      <c r="P24" s="15" t="s">
        <v>17</v>
      </c>
    </row>
    <row r="25" spans="1:16" s="6" customFormat="1" ht="15" customHeight="1" x14ac:dyDescent="0.2">
      <c r="A25" s="4"/>
      <c r="B25" s="7" t="s">
        <v>64</v>
      </c>
      <c r="C25" s="8" t="s">
        <v>16</v>
      </c>
      <c r="D25" s="9" t="s">
        <v>17</v>
      </c>
      <c r="E25" s="9" t="s">
        <v>60</v>
      </c>
      <c r="F25" s="9" t="s">
        <v>61</v>
      </c>
      <c r="G25" s="9" t="s">
        <v>62</v>
      </c>
      <c r="H25" s="10">
        <v>16.967813793193699</v>
      </c>
      <c r="I25" s="10">
        <v>16.9003802656744</v>
      </c>
      <c r="J25" s="11">
        <v>6.3116361977554797E-2</v>
      </c>
      <c r="K25" s="24">
        <v>82907.067278457194</v>
      </c>
      <c r="L25" s="11">
        <v>4.9185915528568396</v>
      </c>
      <c r="M25" s="24">
        <v>86901.040600482404</v>
      </c>
      <c r="N25" s="24">
        <v>3756.37566016151</v>
      </c>
      <c r="O25" s="18">
        <v>72</v>
      </c>
      <c r="P25" s="15" t="s">
        <v>17</v>
      </c>
    </row>
    <row r="26" spans="1:16" s="6" customFormat="1" ht="15" customHeight="1" x14ac:dyDescent="0.2">
      <c r="A26" s="4"/>
      <c r="B26" s="7" t="s">
        <v>65</v>
      </c>
      <c r="C26" s="8" t="s">
        <v>16</v>
      </c>
      <c r="D26" s="9" t="s">
        <v>17</v>
      </c>
      <c r="E26" s="9" t="s">
        <v>66</v>
      </c>
      <c r="F26" s="9" t="s">
        <v>17</v>
      </c>
      <c r="G26" s="9" t="s">
        <v>17</v>
      </c>
      <c r="H26" s="10">
        <v>6.6876967834410603</v>
      </c>
      <c r="I26" s="10">
        <v>6.6876967834410603</v>
      </c>
      <c r="J26" s="11">
        <v>0</v>
      </c>
      <c r="K26" s="24">
        <v>100000000</v>
      </c>
      <c r="L26" s="11">
        <v>8</v>
      </c>
      <c r="M26" s="24">
        <v>100000000</v>
      </c>
      <c r="N26" s="24">
        <v>0</v>
      </c>
      <c r="O26" s="18">
        <v>72</v>
      </c>
      <c r="P26" s="15" t="s">
        <v>17</v>
      </c>
    </row>
    <row r="27" spans="1:16" s="6" customFormat="1" ht="15" customHeight="1" x14ac:dyDescent="0.2">
      <c r="A27" s="4"/>
      <c r="B27" s="7" t="s">
        <v>67</v>
      </c>
      <c r="C27" s="8" t="s">
        <v>16</v>
      </c>
      <c r="D27" s="9" t="s">
        <v>17</v>
      </c>
      <c r="E27" s="9" t="s">
        <v>66</v>
      </c>
      <c r="F27" s="9" t="s">
        <v>17</v>
      </c>
      <c r="G27" s="9" t="s">
        <v>17</v>
      </c>
      <c r="H27" s="10">
        <v>6.3366259790615898</v>
      </c>
      <c r="I27" s="10">
        <v>6.3366259790615898</v>
      </c>
      <c r="J27" s="11">
        <v>0</v>
      </c>
      <c r="K27" s="24">
        <v>100000000</v>
      </c>
      <c r="L27" s="11">
        <v>8</v>
      </c>
      <c r="M27" s="24">
        <v>100000000</v>
      </c>
      <c r="N27" s="24">
        <v>0</v>
      </c>
      <c r="O27" s="18">
        <v>72</v>
      </c>
      <c r="P27" s="15" t="s">
        <v>17</v>
      </c>
    </row>
    <row r="28" spans="1:16" s="6" customFormat="1" ht="15" customHeight="1" x14ac:dyDescent="0.2">
      <c r="A28" s="4"/>
      <c r="B28" s="7" t="s">
        <v>68</v>
      </c>
      <c r="C28" s="8" t="s">
        <v>16</v>
      </c>
      <c r="D28" s="9" t="s">
        <v>17</v>
      </c>
      <c r="E28" s="9" t="s">
        <v>66</v>
      </c>
      <c r="F28" s="9" t="s">
        <v>17</v>
      </c>
      <c r="G28" s="9" t="s">
        <v>17</v>
      </c>
      <c r="H28" s="10">
        <v>6.4066053765044204</v>
      </c>
      <c r="I28" s="10">
        <v>6.4066053765044204</v>
      </c>
      <c r="J28" s="11">
        <v>0</v>
      </c>
      <c r="K28" s="24">
        <v>100000000</v>
      </c>
      <c r="L28" s="11">
        <v>8</v>
      </c>
      <c r="M28" s="24">
        <v>100000000</v>
      </c>
      <c r="N28" s="24">
        <v>0</v>
      </c>
      <c r="O28" s="18">
        <v>72</v>
      </c>
      <c r="P28" s="15" t="s">
        <v>17</v>
      </c>
    </row>
    <row r="29" spans="1:16" s="6" customFormat="1" ht="15" customHeight="1" x14ac:dyDescent="0.2">
      <c r="A29" s="4"/>
      <c r="B29" s="7" t="s">
        <v>69</v>
      </c>
      <c r="C29" s="8" t="s">
        <v>16</v>
      </c>
      <c r="D29" s="9" t="s">
        <v>17</v>
      </c>
      <c r="E29" s="9" t="s">
        <v>70</v>
      </c>
      <c r="F29" s="9" t="s">
        <v>71</v>
      </c>
      <c r="G29" s="9" t="s">
        <v>72</v>
      </c>
      <c r="H29" s="10">
        <v>28.909925294599201</v>
      </c>
      <c r="I29" s="10">
        <v>28.443851842383399</v>
      </c>
      <c r="J29" s="11">
        <v>0.44750918689674002</v>
      </c>
      <c r="K29" s="24">
        <v>22.293491046146499</v>
      </c>
      <c r="L29" s="11">
        <v>1.34817808208999</v>
      </c>
      <c r="M29" s="24">
        <v>31.693718570524702</v>
      </c>
      <c r="N29" s="24">
        <v>9.4573795861684005</v>
      </c>
      <c r="O29" s="12">
        <v>72</v>
      </c>
      <c r="P29" s="9" t="s">
        <v>17</v>
      </c>
    </row>
    <row r="30" spans="1:16" s="6" customFormat="1" ht="15" customHeight="1" x14ac:dyDescent="0.2">
      <c r="A30" s="4"/>
      <c r="B30" s="7" t="s">
        <v>73</v>
      </c>
      <c r="C30" s="8" t="s">
        <v>16</v>
      </c>
      <c r="D30" s="9" t="s">
        <v>17</v>
      </c>
      <c r="E30" s="9" t="s">
        <v>70</v>
      </c>
      <c r="F30" s="9" t="s">
        <v>71</v>
      </c>
      <c r="G30" s="9" t="s">
        <v>72</v>
      </c>
      <c r="H30" s="10">
        <v>28.404066572186501</v>
      </c>
      <c r="I30" s="10">
        <v>28.443851842383399</v>
      </c>
      <c r="J30" s="11">
        <v>0.44750918689674002</v>
      </c>
      <c r="K30" s="24">
        <v>31.580432234621298</v>
      </c>
      <c r="L30" s="11">
        <v>1.4994180698086399</v>
      </c>
      <c r="M30" s="24">
        <v>31.693718570524702</v>
      </c>
      <c r="N30" s="24">
        <v>9.4573795861684005</v>
      </c>
      <c r="O30" s="12">
        <v>72</v>
      </c>
      <c r="P30" s="9" t="s">
        <v>17</v>
      </c>
    </row>
    <row r="31" spans="1:16" s="6" customFormat="1" ht="15" customHeight="1" x14ac:dyDescent="0.2">
      <c r="A31" s="4"/>
      <c r="B31" s="7" t="s">
        <v>74</v>
      </c>
      <c r="C31" s="8" t="s">
        <v>16</v>
      </c>
      <c r="D31" s="9" t="s">
        <v>17</v>
      </c>
      <c r="E31" s="9" t="s">
        <v>70</v>
      </c>
      <c r="F31" s="9" t="s">
        <v>71</v>
      </c>
      <c r="G31" s="9" t="s">
        <v>72</v>
      </c>
      <c r="H31" s="10">
        <v>28.017563660364502</v>
      </c>
      <c r="I31" s="10">
        <v>28.443851842383399</v>
      </c>
      <c r="J31" s="11">
        <v>0.44750918689674002</v>
      </c>
      <c r="K31" s="24">
        <v>41.2072324308063</v>
      </c>
      <c r="L31" s="11">
        <v>1.61497344732268</v>
      </c>
      <c r="M31" s="24">
        <v>31.693718570524702</v>
      </c>
      <c r="N31" s="24">
        <v>9.4573795861684005</v>
      </c>
      <c r="O31" s="12">
        <v>72</v>
      </c>
      <c r="P31" s="9" t="s">
        <v>17</v>
      </c>
    </row>
    <row r="32" spans="1:16" s="6" customFormat="1" ht="15" customHeight="1" x14ac:dyDescent="0.2">
      <c r="A32" s="4"/>
      <c r="B32" s="7" t="s">
        <v>75</v>
      </c>
      <c r="C32" s="8" t="s">
        <v>16</v>
      </c>
      <c r="D32" s="9" t="s">
        <v>17</v>
      </c>
      <c r="E32" s="9" t="s">
        <v>76</v>
      </c>
      <c r="F32" s="9" t="s">
        <v>77</v>
      </c>
      <c r="G32" s="9" t="s">
        <v>20</v>
      </c>
      <c r="H32" s="10">
        <v>16.000760109626999</v>
      </c>
      <c r="I32" s="10">
        <v>15.8202208870549</v>
      </c>
      <c r="J32" s="11">
        <v>0.15636566575899</v>
      </c>
      <c r="K32" s="24">
        <v>161331.10295526101</v>
      </c>
      <c r="L32" s="11">
        <v>5.20771810291079</v>
      </c>
      <c r="M32" s="24">
        <v>183373.40464469901</v>
      </c>
      <c r="N32" s="24">
        <v>19091.263326262499</v>
      </c>
      <c r="O32" s="12">
        <v>72</v>
      </c>
      <c r="P32" s="9" t="s">
        <v>17</v>
      </c>
    </row>
    <row r="33" spans="2:16" ht="15" customHeight="1" x14ac:dyDescent="0.2">
      <c r="B33" s="13" t="s">
        <v>78</v>
      </c>
      <c r="C33" s="14" t="s">
        <v>16</v>
      </c>
      <c r="D33" s="15" t="s">
        <v>17</v>
      </c>
      <c r="E33" s="15" t="s">
        <v>76</v>
      </c>
      <c r="F33" s="15" t="s">
        <v>77</v>
      </c>
      <c r="G33" s="15" t="s">
        <v>20</v>
      </c>
      <c r="H33" s="16">
        <v>15.7278504989988</v>
      </c>
      <c r="I33" s="16">
        <v>15.8202208870549</v>
      </c>
      <c r="J33" s="17">
        <v>0.15636566575899</v>
      </c>
      <c r="K33" s="25">
        <v>194675.69169576801</v>
      </c>
      <c r="L33" s="17">
        <v>5.2893117264483003</v>
      </c>
      <c r="M33" s="25">
        <v>183373.40464469901</v>
      </c>
      <c r="N33" s="25">
        <v>19091.263326262499</v>
      </c>
      <c r="O33" s="12">
        <v>72</v>
      </c>
      <c r="P33" s="9" t="s">
        <v>17</v>
      </c>
    </row>
    <row r="34" spans="2:16" ht="15" customHeight="1" x14ac:dyDescent="0.2">
      <c r="B34" s="13" t="s">
        <v>79</v>
      </c>
      <c r="C34" s="14" t="s">
        <v>16</v>
      </c>
      <c r="D34" s="15" t="s">
        <v>17</v>
      </c>
      <c r="E34" s="15" t="s">
        <v>76</v>
      </c>
      <c r="F34" s="15" t="s">
        <v>77</v>
      </c>
      <c r="G34" s="15" t="s">
        <v>20</v>
      </c>
      <c r="H34" s="16">
        <v>15.732052052538799</v>
      </c>
      <c r="I34" s="16">
        <v>15.8202208870549</v>
      </c>
      <c r="J34" s="17">
        <v>0.15636566575899</v>
      </c>
      <c r="K34" s="25">
        <v>194113.419283069</v>
      </c>
      <c r="L34" s="17">
        <v>5.2880555597012799</v>
      </c>
      <c r="M34" s="25">
        <v>183373.40464469901</v>
      </c>
      <c r="N34" s="25">
        <v>19091.263326262499</v>
      </c>
      <c r="O34" s="12">
        <v>72</v>
      </c>
      <c r="P34" s="9" t="s">
        <v>17</v>
      </c>
    </row>
    <row r="35" spans="2:16" ht="15" customHeight="1" x14ac:dyDescent="0.2">
      <c r="B35" s="13" t="s">
        <v>80</v>
      </c>
      <c r="C35" s="14" t="s">
        <v>16</v>
      </c>
      <c r="D35" s="15" t="s">
        <v>17</v>
      </c>
      <c r="E35" s="15" t="s">
        <v>81</v>
      </c>
      <c r="F35" s="15" t="s">
        <v>82</v>
      </c>
      <c r="G35" s="15" t="s">
        <v>83</v>
      </c>
      <c r="H35" s="16">
        <v>18.140441088535599</v>
      </c>
      <c r="I35" s="16">
        <v>17.9481511443824</v>
      </c>
      <c r="J35" s="17">
        <v>0.188080437171846</v>
      </c>
      <c r="K35" s="25">
        <v>36983.096963480799</v>
      </c>
      <c r="L35" s="17">
        <v>4.5680032761534397</v>
      </c>
      <c r="M35" s="25">
        <v>42453.138052372902</v>
      </c>
      <c r="N35" s="25">
        <v>5460.7018917414898</v>
      </c>
      <c r="O35" s="18">
        <v>72</v>
      </c>
      <c r="P35" s="15" t="s">
        <v>17</v>
      </c>
    </row>
    <row r="36" spans="2:16" ht="15" customHeight="1" x14ac:dyDescent="0.2">
      <c r="B36" s="13" t="s">
        <v>84</v>
      </c>
      <c r="C36" s="14" t="s">
        <v>16</v>
      </c>
      <c r="D36" s="15" t="s">
        <v>17</v>
      </c>
      <c r="E36" s="15" t="s">
        <v>81</v>
      </c>
      <c r="F36" s="15" t="s">
        <v>82</v>
      </c>
      <c r="G36" s="15" t="s">
        <v>83</v>
      </c>
      <c r="H36" s="16">
        <v>17.764583727362101</v>
      </c>
      <c r="I36" s="16">
        <v>17.9481511443824</v>
      </c>
      <c r="J36" s="17">
        <v>0.188080437171846</v>
      </c>
      <c r="K36" s="25">
        <v>47904.452582167898</v>
      </c>
      <c r="L36" s="17">
        <v>4.6803758817234504</v>
      </c>
      <c r="M36" s="25">
        <v>42453.138052372902</v>
      </c>
      <c r="N36" s="25">
        <v>5460.7018917414898</v>
      </c>
      <c r="O36" s="18">
        <v>72</v>
      </c>
      <c r="P36" s="15" t="s">
        <v>17</v>
      </c>
    </row>
    <row r="37" spans="2:16" ht="15" customHeight="1" x14ac:dyDescent="0.2">
      <c r="B37" s="13" t="s">
        <v>85</v>
      </c>
      <c r="C37" s="14" t="s">
        <v>16</v>
      </c>
      <c r="D37" s="15" t="s">
        <v>17</v>
      </c>
      <c r="E37" s="15" t="s">
        <v>81</v>
      </c>
      <c r="F37" s="15" t="s">
        <v>82</v>
      </c>
      <c r="G37" s="15" t="s">
        <v>83</v>
      </c>
      <c r="H37" s="16">
        <v>17.939428617249501</v>
      </c>
      <c r="I37" s="16">
        <v>17.9481511443824</v>
      </c>
      <c r="J37" s="17">
        <v>0.188080437171846</v>
      </c>
      <c r="K37" s="25">
        <v>42471.864611470002</v>
      </c>
      <c r="L37" s="17">
        <v>4.6281013279248997</v>
      </c>
      <c r="M37" s="25">
        <v>42453.138052372902</v>
      </c>
      <c r="N37" s="25">
        <v>5460.7018917414898</v>
      </c>
      <c r="O37" s="18">
        <v>72</v>
      </c>
      <c r="P37" s="15" t="s">
        <v>17</v>
      </c>
    </row>
    <row r="38" spans="2:16" ht="15" customHeight="1" x14ac:dyDescent="0.2">
      <c r="B38" s="13" t="s">
        <v>86</v>
      </c>
      <c r="C38" s="14" t="s">
        <v>16</v>
      </c>
      <c r="D38" s="15" t="s">
        <v>17</v>
      </c>
      <c r="E38" s="15" t="s">
        <v>87</v>
      </c>
      <c r="F38" s="15" t="s">
        <v>88</v>
      </c>
      <c r="G38" s="15" t="s">
        <v>32</v>
      </c>
      <c r="H38" s="16">
        <v>18.310793421241701</v>
      </c>
      <c r="I38" s="16">
        <v>18.250546375257301</v>
      </c>
      <c r="J38" s="17">
        <v>0.53507746493102504</v>
      </c>
      <c r="K38" s="25">
        <v>32890.607295929498</v>
      </c>
      <c r="L38" s="17">
        <v>4.5170718924196001</v>
      </c>
      <c r="M38" s="25">
        <v>35883.770297265197</v>
      </c>
      <c r="N38" s="25">
        <v>13374.706578220401</v>
      </c>
      <c r="O38" s="18">
        <v>72</v>
      </c>
      <c r="P38" s="15" t="s">
        <v>17</v>
      </c>
    </row>
    <row r="39" spans="2:16" ht="15" customHeight="1" x14ac:dyDescent="0.2">
      <c r="B39" s="13" t="s">
        <v>89</v>
      </c>
      <c r="C39" s="14" t="s">
        <v>16</v>
      </c>
      <c r="D39" s="15" t="s">
        <v>17</v>
      </c>
      <c r="E39" s="15" t="s">
        <v>87</v>
      </c>
      <c r="F39" s="15" t="s">
        <v>88</v>
      </c>
      <c r="G39" s="15" t="s">
        <v>32</v>
      </c>
      <c r="H39" s="16">
        <v>17.687895281556699</v>
      </c>
      <c r="I39" s="16">
        <v>18.250546375257301</v>
      </c>
      <c r="J39" s="17">
        <v>0.53507746493102504</v>
      </c>
      <c r="K39" s="25">
        <v>50501.4610303519</v>
      </c>
      <c r="L39" s="17">
        <v>4.7033039426382901</v>
      </c>
      <c r="M39" s="25">
        <v>35883.770297265197</v>
      </c>
      <c r="N39" s="25">
        <v>13374.706578220401</v>
      </c>
      <c r="O39" s="18">
        <v>72</v>
      </c>
      <c r="P39" s="15" t="s">
        <v>17</v>
      </c>
    </row>
    <row r="40" spans="2:16" ht="15" customHeight="1" x14ac:dyDescent="0.2">
      <c r="B40" s="13" t="s">
        <v>90</v>
      </c>
      <c r="C40" s="14" t="s">
        <v>16</v>
      </c>
      <c r="D40" s="15" t="s">
        <v>17</v>
      </c>
      <c r="E40" s="15" t="s">
        <v>87</v>
      </c>
      <c r="F40" s="15" t="s">
        <v>88</v>
      </c>
      <c r="G40" s="15" t="s">
        <v>32</v>
      </c>
      <c r="H40" s="16">
        <v>18.752950422973498</v>
      </c>
      <c r="I40" s="16">
        <v>18.250546375257301</v>
      </c>
      <c r="J40" s="17">
        <v>0.53507746493102504</v>
      </c>
      <c r="K40" s="25">
        <v>24259.2425655142</v>
      </c>
      <c r="L40" s="17">
        <v>4.3848772369776796</v>
      </c>
      <c r="M40" s="25">
        <v>35883.770297265197</v>
      </c>
      <c r="N40" s="25">
        <v>13374.706578220401</v>
      </c>
      <c r="O40" s="18">
        <v>72</v>
      </c>
      <c r="P40" s="15" t="s">
        <v>17</v>
      </c>
    </row>
    <row r="41" spans="2:16" ht="15" customHeight="1" x14ac:dyDescent="0.2">
      <c r="B41" s="13" t="s">
        <v>91</v>
      </c>
      <c r="C41" s="14" t="s">
        <v>16</v>
      </c>
      <c r="D41" s="15" t="s">
        <v>17</v>
      </c>
      <c r="E41" s="15" t="s">
        <v>66</v>
      </c>
      <c r="F41" s="15" t="s">
        <v>17</v>
      </c>
      <c r="G41" s="15" t="s">
        <v>17</v>
      </c>
      <c r="H41" s="16">
        <v>10.260565507371</v>
      </c>
      <c r="I41" s="16">
        <v>10.260565507371</v>
      </c>
      <c r="J41" s="17">
        <v>0</v>
      </c>
      <c r="K41" s="25">
        <v>10000000</v>
      </c>
      <c r="L41" s="17">
        <v>7</v>
      </c>
      <c r="M41" s="25">
        <v>10000000</v>
      </c>
      <c r="N41" s="25">
        <v>0</v>
      </c>
      <c r="O41" s="18">
        <v>72</v>
      </c>
      <c r="P41" s="15" t="s">
        <v>17</v>
      </c>
    </row>
    <row r="42" spans="2:16" ht="15" customHeight="1" x14ac:dyDescent="0.2">
      <c r="B42" s="13" t="s">
        <v>92</v>
      </c>
      <c r="C42" s="14" t="s">
        <v>16</v>
      </c>
      <c r="D42" s="15" t="s">
        <v>17</v>
      </c>
      <c r="E42" s="15" t="s">
        <v>66</v>
      </c>
      <c r="F42" s="15" t="s">
        <v>17</v>
      </c>
      <c r="G42" s="15" t="s">
        <v>17</v>
      </c>
      <c r="H42" s="16">
        <v>10.075028613187399</v>
      </c>
      <c r="I42" s="16">
        <v>10.075028613187399</v>
      </c>
      <c r="J42" s="17">
        <v>0</v>
      </c>
      <c r="K42" s="25">
        <v>10000000</v>
      </c>
      <c r="L42" s="17">
        <v>7</v>
      </c>
      <c r="M42" s="25">
        <v>10000000</v>
      </c>
      <c r="N42" s="25">
        <v>0</v>
      </c>
      <c r="O42" s="18">
        <v>72</v>
      </c>
      <c r="P42" s="15" t="s">
        <v>17</v>
      </c>
    </row>
    <row r="43" spans="2:16" ht="15" customHeight="1" x14ac:dyDescent="0.2">
      <c r="B43" s="13" t="s">
        <v>93</v>
      </c>
      <c r="C43" s="14" t="s">
        <v>16</v>
      </c>
      <c r="D43" s="15" t="s">
        <v>17</v>
      </c>
      <c r="E43" s="15" t="s">
        <v>66</v>
      </c>
      <c r="F43" s="15" t="s">
        <v>17</v>
      </c>
      <c r="G43" s="15" t="s">
        <v>17</v>
      </c>
      <c r="H43" s="16">
        <v>10.008884789067301</v>
      </c>
      <c r="I43" s="16">
        <v>10.008884789067301</v>
      </c>
      <c r="J43" s="17">
        <v>0</v>
      </c>
      <c r="K43" s="25">
        <v>10000000</v>
      </c>
      <c r="L43" s="17">
        <v>7</v>
      </c>
      <c r="M43" s="25">
        <v>10000000</v>
      </c>
      <c r="N43" s="25">
        <v>0</v>
      </c>
      <c r="O43" s="18">
        <v>72</v>
      </c>
      <c r="P43" s="15" t="s">
        <v>17</v>
      </c>
    </row>
    <row r="44" spans="2:16" ht="15" customHeight="1" x14ac:dyDescent="0.2">
      <c r="B44" s="13" t="s">
        <v>94</v>
      </c>
      <c r="C44" s="14" t="s">
        <v>16</v>
      </c>
      <c r="D44" s="15" t="s">
        <v>17</v>
      </c>
      <c r="E44" s="15" t="s">
        <v>95</v>
      </c>
      <c r="F44" s="15" t="s">
        <v>96</v>
      </c>
      <c r="G44" s="15" t="s">
        <v>97</v>
      </c>
      <c r="H44" s="16">
        <v>14.174657814755401</v>
      </c>
      <c r="I44" s="16">
        <v>14.435137755327601</v>
      </c>
      <c r="J44" s="17">
        <v>0.47177388114276902</v>
      </c>
      <c r="K44" s="25">
        <v>567126.83759008395</v>
      </c>
      <c r="L44" s="17">
        <v>5.7536801994663902</v>
      </c>
      <c r="M44" s="25">
        <v>489792.73960213602</v>
      </c>
      <c r="N44" s="25">
        <v>142076.606512589</v>
      </c>
      <c r="O44" s="12">
        <v>72</v>
      </c>
      <c r="P44" s="9" t="s">
        <v>17</v>
      </c>
    </row>
    <row r="45" spans="2:16" ht="15" customHeight="1" x14ac:dyDescent="0.2">
      <c r="B45" s="13" t="s">
        <v>98</v>
      </c>
      <c r="C45" s="14" t="s">
        <v>16</v>
      </c>
      <c r="D45" s="15" t="s">
        <v>17</v>
      </c>
      <c r="E45" s="15" t="s">
        <v>95</v>
      </c>
      <c r="F45" s="15" t="s">
        <v>96</v>
      </c>
      <c r="G45" s="15" t="s">
        <v>97</v>
      </c>
      <c r="H45" s="16">
        <v>14.1510309561704</v>
      </c>
      <c r="I45" s="16">
        <v>14.435137755327601</v>
      </c>
      <c r="J45" s="17">
        <v>0.47177388114276902</v>
      </c>
      <c r="K45" s="25">
        <v>576426.68854682997</v>
      </c>
      <c r="L45" s="17">
        <v>5.7607440804353098</v>
      </c>
      <c r="M45" s="25">
        <v>489792.73960213602</v>
      </c>
      <c r="N45" s="25">
        <v>142076.606512589</v>
      </c>
      <c r="O45" s="12">
        <v>72</v>
      </c>
      <c r="P45" s="9" t="s">
        <v>17</v>
      </c>
    </row>
    <row r="46" spans="2:16" ht="15" customHeight="1" x14ac:dyDescent="0.2">
      <c r="B46" s="13" t="s">
        <v>99</v>
      </c>
      <c r="C46" s="14" t="s">
        <v>16</v>
      </c>
      <c r="D46" s="15" t="s">
        <v>17</v>
      </c>
      <c r="E46" s="15" t="s">
        <v>95</v>
      </c>
      <c r="F46" s="15" t="s">
        <v>96</v>
      </c>
      <c r="G46" s="15" t="s">
        <v>97</v>
      </c>
      <c r="H46" s="16">
        <v>14.9797244950571</v>
      </c>
      <c r="I46" s="16">
        <v>14.435137755327601</v>
      </c>
      <c r="J46" s="17">
        <v>0.47177388114276902</v>
      </c>
      <c r="K46" s="25">
        <v>325824.69266949402</v>
      </c>
      <c r="L46" s="17">
        <v>5.5129839942872199</v>
      </c>
      <c r="M46" s="25">
        <v>489792.73960213602</v>
      </c>
      <c r="N46" s="25">
        <v>142076.606512589</v>
      </c>
      <c r="O46" s="12">
        <v>72</v>
      </c>
      <c r="P46" s="9" t="s">
        <v>17</v>
      </c>
    </row>
    <row r="47" spans="2:16" ht="15" customHeight="1" x14ac:dyDescent="0.2">
      <c r="B47" s="13" t="s">
        <v>100</v>
      </c>
      <c r="C47" s="14" t="s">
        <v>16</v>
      </c>
      <c r="D47" s="15" t="s">
        <v>17</v>
      </c>
      <c r="E47" s="15" t="s">
        <v>101</v>
      </c>
      <c r="F47" s="15" t="s">
        <v>102</v>
      </c>
      <c r="G47" s="15" t="s">
        <v>44</v>
      </c>
      <c r="H47" s="16">
        <v>24.115344487560499</v>
      </c>
      <c r="I47" s="16">
        <v>23.985899819018201</v>
      </c>
      <c r="J47" s="17">
        <v>0.13856893933910799</v>
      </c>
      <c r="K47" s="25">
        <v>604.84790878698902</v>
      </c>
      <c r="L47" s="17">
        <v>2.7816461834484798</v>
      </c>
      <c r="M47" s="25">
        <v>663.24034654958405</v>
      </c>
      <c r="N47" s="25">
        <v>63.731010521720201</v>
      </c>
      <c r="O47" s="12">
        <v>72</v>
      </c>
      <c r="P47" s="9" t="s">
        <v>17</v>
      </c>
    </row>
    <row r="48" spans="2:16" ht="15" customHeight="1" x14ac:dyDescent="0.2">
      <c r="B48" s="13" t="s">
        <v>103</v>
      </c>
      <c r="C48" s="14" t="s">
        <v>16</v>
      </c>
      <c r="D48" s="15" t="s">
        <v>17</v>
      </c>
      <c r="E48" s="15" t="s">
        <v>101</v>
      </c>
      <c r="F48" s="15" t="s">
        <v>102</v>
      </c>
      <c r="G48" s="15" t="s">
        <v>44</v>
      </c>
      <c r="H48" s="16">
        <v>24.002629368022099</v>
      </c>
      <c r="I48" s="16">
        <v>23.985899819018201</v>
      </c>
      <c r="J48" s="17">
        <v>0.13856893933910799</v>
      </c>
      <c r="K48" s="25">
        <v>653.650174631715</v>
      </c>
      <c r="L48" s="17">
        <v>2.8153453815435401</v>
      </c>
      <c r="M48" s="25">
        <v>663.24034654958405</v>
      </c>
      <c r="N48" s="25">
        <v>63.731010521720201</v>
      </c>
      <c r="O48" s="12">
        <v>72</v>
      </c>
      <c r="P48" s="9" t="s">
        <v>17</v>
      </c>
    </row>
    <row r="49" spans="2:18" ht="15" customHeight="1" x14ac:dyDescent="0.2">
      <c r="B49" s="13" t="s">
        <v>104</v>
      </c>
      <c r="C49" s="14" t="s">
        <v>16</v>
      </c>
      <c r="D49" s="15" t="s">
        <v>17</v>
      </c>
      <c r="E49" s="15" t="s">
        <v>101</v>
      </c>
      <c r="F49" s="15" t="s">
        <v>102</v>
      </c>
      <c r="G49" s="15" t="s">
        <v>44</v>
      </c>
      <c r="H49" s="16">
        <v>23.8397256014721</v>
      </c>
      <c r="I49" s="16">
        <v>23.985899819018201</v>
      </c>
      <c r="J49" s="17">
        <v>0.13856893933910799</v>
      </c>
      <c r="K49" s="25">
        <v>731.22295623004902</v>
      </c>
      <c r="L49" s="17">
        <v>2.86404981730939</v>
      </c>
      <c r="M49" s="25">
        <v>663.24034654958405</v>
      </c>
      <c r="N49" s="25">
        <v>63.731010521720201</v>
      </c>
      <c r="O49" s="12">
        <v>72</v>
      </c>
      <c r="P49" s="9" t="s">
        <v>17</v>
      </c>
    </row>
    <row r="50" spans="2:18" ht="15" customHeight="1" x14ac:dyDescent="0.2">
      <c r="B50" s="13" t="s">
        <v>105</v>
      </c>
      <c r="C50" s="14" t="s">
        <v>16</v>
      </c>
      <c r="D50" s="15" t="s">
        <v>17</v>
      </c>
      <c r="E50" s="15" t="s">
        <v>106</v>
      </c>
      <c r="F50" s="15" t="s">
        <v>107</v>
      </c>
      <c r="G50" s="15" t="s">
        <v>108</v>
      </c>
      <c r="H50" s="16">
        <v>18.676291915262102</v>
      </c>
      <c r="I50" s="16">
        <v>18.733412310108498</v>
      </c>
      <c r="J50" s="17">
        <v>0.44206966760725502</v>
      </c>
      <c r="K50" s="25">
        <v>25573.8637526446</v>
      </c>
      <c r="L50" s="17">
        <v>4.4077963470990102</v>
      </c>
      <c r="M50" s="25">
        <v>25337.907509005901</v>
      </c>
      <c r="N50" s="25">
        <v>7405.4697941679797</v>
      </c>
      <c r="O50" s="18">
        <v>72</v>
      </c>
      <c r="P50" s="15" t="s">
        <v>17</v>
      </c>
    </row>
    <row r="51" spans="2:18" ht="15" customHeight="1" x14ac:dyDescent="0.2">
      <c r="B51" s="13" t="s">
        <v>109</v>
      </c>
      <c r="C51" s="14" t="s">
        <v>16</v>
      </c>
      <c r="D51" s="15" t="s">
        <v>17</v>
      </c>
      <c r="E51" s="15" t="s">
        <v>106</v>
      </c>
      <c r="F51" s="15" t="s">
        <v>107</v>
      </c>
      <c r="G51" s="15" t="s">
        <v>108</v>
      </c>
      <c r="H51" s="16">
        <v>18.322679283832802</v>
      </c>
      <c r="I51" s="16">
        <v>18.733412310108498</v>
      </c>
      <c r="J51" s="17">
        <v>0.44206966760725502</v>
      </c>
      <c r="K51" s="25">
        <v>32622.579342483001</v>
      </c>
      <c r="L51" s="17">
        <v>4.5135182960642002</v>
      </c>
      <c r="M51" s="25">
        <v>25337.907509005901</v>
      </c>
      <c r="N51" s="25">
        <v>7405.4697941679797</v>
      </c>
      <c r="O51" s="18">
        <v>72</v>
      </c>
      <c r="P51" s="15" t="s">
        <v>17</v>
      </c>
    </row>
    <row r="52" spans="2:18" ht="15" customHeight="1" x14ac:dyDescent="0.2">
      <c r="B52" s="13" t="s">
        <v>110</v>
      </c>
      <c r="C52" s="14" t="s">
        <v>16</v>
      </c>
      <c r="D52" s="15" t="s">
        <v>17</v>
      </c>
      <c r="E52" s="15" t="s">
        <v>106</v>
      </c>
      <c r="F52" s="15" t="s">
        <v>107</v>
      </c>
      <c r="G52" s="15" t="s">
        <v>108</v>
      </c>
      <c r="H52" s="16">
        <v>19.201265731230698</v>
      </c>
      <c r="I52" s="16">
        <v>18.733412310108498</v>
      </c>
      <c r="J52" s="17">
        <v>0.44206966760725502</v>
      </c>
      <c r="K52" s="25">
        <v>17817.2794318901</v>
      </c>
      <c r="L52" s="17">
        <v>4.2508413911756904</v>
      </c>
      <c r="M52" s="25">
        <v>25337.907509005901</v>
      </c>
      <c r="N52" s="25">
        <v>7405.4697941679797</v>
      </c>
      <c r="O52" s="18">
        <v>72</v>
      </c>
      <c r="P52" s="15" t="s">
        <v>17</v>
      </c>
    </row>
    <row r="53" spans="2:18" ht="15" customHeight="1" x14ac:dyDescent="0.2">
      <c r="B53" s="13" t="s">
        <v>111</v>
      </c>
      <c r="C53" s="14" t="s">
        <v>16</v>
      </c>
      <c r="D53" s="15" t="s">
        <v>17</v>
      </c>
      <c r="E53" s="15" t="s">
        <v>112</v>
      </c>
      <c r="F53" s="15" t="s">
        <v>113</v>
      </c>
      <c r="G53" s="15" t="s">
        <v>56</v>
      </c>
      <c r="H53" s="16">
        <v>18.915124166734699</v>
      </c>
      <c r="I53" s="16">
        <v>18.966374114785101</v>
      </c>
      <c r="J53" s="17">
        <v>5.0425846365403301E-2</v>
      </c>
      <c r="K53" s="25">
        <v>21696.5689590734</v>
      </c>
      <c r="L53" s="17">
        <v>4.3363910610395697</v>
      </c>
      <c r="M53" s="25">
        <v>20952.8476292329</v>
      </c>
      <c r="N53" s="25">
        <v>727.88392432682201</v>
      </c>
      <c r="O53" s="18">
        <v>72</v>
      </c>
      <c r="P53" s="15" t="s">
        <v>17</v>
      </c>
    </row>
    <row r="54" spans="2:18" ht="15" customHeight="1" x14ac:dyDescent="0.2">
      <c r="B54" s="13" t="s">
        <v>114</v>
      </c>
      <c r="C54" s="14" t="s">
        <v>16</v>
      </c>
      <c r="D54" s="15" t="s">
        <v>17</v>
      </c>
      <c r="E54" s="15" t="s">
        <v>112</v>
      </c>
      <c r="F54" s="15" t="s">
        <v>113</v>
      </c>
      <c r="G54" s="15" t="s">
        <v>56</v>
      </c>
      <c r="H54" s="16">
        <v>18.968064843464202</v>
      </c>
      <c r="I54" s="16">
        <v>18.966374114785101</v>
      </c>
      <c r="J54" s="17">
        <v>5.0425846365403301E-2</v>
      </c>
      <c r="K54" s="25">
        <v>20920.065045215499</v>
      </c>
      <c r="L54" s="17">
        <v>4.3205630305171399</v>
      </c>
      <c r="M54" s="25">
        <v>20952.8476292329</v>
      </c>
      <c r="N54" s="25">
        <v>727.88392432682201</v>
      </c>
      <c r="O54" s="18">
        <v>72</v>
      </c>
      <c r="P54" s="15" t="s">
        <v>17</v>
      </c>
    </row>
    <row r="55" spans="2:18" ht="15" customHeight="1" x14ac:dyDescent="0.2">
      <c r="B55" s="13" t="s">
        <v>115</v>
      </c>
      <c r="C55" s="14" t="s">
        <v>16</v>
      </c>
      <c r="D55" s="15" t="s">
        <v>17</v>
      </c>
      <c r="E55" s="15" t="s">
        <v>112</v>
      </c>
      <c r="F55" s="15" t="s">
        <v>113</v>
      </c>
      <c r="G55" s="15" t="s">
        <v>56</v>
      </c>
      <c r="H55" s="16">
        <v>19.0159333341565</v>
      </c>
      <c r="I55" s="16">
        <v>18.966374114785101</v>
      </c>
      <c r="J55" s="17">
        <v>5.0425846365403301E-2</v>
      </c>
      <c r="K55" s="25">
        <v>20241.90888341</v>
      </c>
      <c r="L55" s="17">
        <v>4.3062514656006003</v>
      </c>
      <c r="M55" s="25">
        <v>20952.8476292329</v>
      </c>
      <c r="N55" s="25">
        <v>727.88392432682201</v>
      </c>
      <c r="O55" s="18">
        <v>72</v>
      </c>
      <c r="P55" s="15" t="s">
        <v>17</v>
      </c>
    </row>
    <row r="56" spans="2:18" ht="15" customHeight="1" x14ac:dyDescent="0.2">
      <c r="B56" s="13" t="s">
        <v>116</v>
      </c>
      <c r="C56" s="14" t="s">
        <v>16</v>
      </c>
      <c r="D56" s="15" t="s">
        <v>17</v>
      </c>
      <c r="E56" s="15" t="s">
        <v>66</v>
      </c>
      <c r="F56" s="15" t="s">
        <v>17</v>
      </c>
      <c r="G56" s="15" t="s">
        <v>17</v>
      </c>
      <c r="H56" s="16">
        <v>13.591084044686699</v>
      </c>
      <c r="I56" s="16">
        <v>13.591084044686699</v>
      </c>
      <c r="J56" s="17">
        <v>0</v>
      </c>
      <c r="K56" s="25">
        <v>1000000</v>
      </c>
      <c r="L56" s="17">
        <v>6</v>
      </c>
      <c r="M56" s="25">
        <v>1000000</v>
      </c>
      <c r="N56" s="25">
        <v>0</v>
      </c>
      <c r="O56" s="18">
        <v>72</v>
      </c>
      <c r="P56" s="15" t="s">
        <v>17</v>
      </c>
    </row>
    <row r="57" spans="2:18" ht="15" customHeight="1" x14ac:dyDescent="0.2">
      <c r="B57" s="13" t="s">
        <v>117</v>
      </c>
      <c r="C57" s="14" t="s">
        <v>16</v>
      </c>
      <c r="D57" s="15" t="s">
        <v>17</v>
      </c>
      <c r="E57" s="15" t="s">
        <v>66</v>
      </c>
      <c r="F57" s="15" t="s">
        <v>17</v>
      </c>
      <c r="G57" s="15" t="s">
        <v>17</v>
      </c>
      <c r="H57" s="16">
        <v>13.090158848870599</v>
      </c>
      <c r="I57" s="16">
        <v>13.090158848870599</v>
      </c>
      <c r="J57" s="17">
        <v>0</v>
      </c>
      <c r="K57" s="25">
        <v>1000000</v>
      </c>
      <c r="L57" s="17">
        <v>6</v>
      </c>
      <c r="M57" s="25">
        <v>1000000</v>
      </c>
      <c r="N57" s="25">
        <v>0</v>
      </c>
      <c r="O57" s="18">
        <v>72</v>
      </c>
      <c r="P57" s="15" t="s">
        <v>17</v>
      </c>
    </row>
    <row r="58" spans="2:18" ht="15" customHeight="1" x14ac:dyDescent="0.2">
      <c r="B58" s="13" t="s">
        <v>118</v>
      </c>
      <c r="C58" s="14" t="s">
        <v>16</v>
      </c>
      <c r="D58" s="15" t="s">
        <v>17</v>
      </c>
      <c r="E58" s="15" t="s">
        <v>66</v>
      </c>
      <c r="F58" s="15" t="s">
        <v>17</v>
      </c>
      <c r="G58" s="15" t="s">
        <v>17</v>
      </c>
      <c r="H58" s="16">
        <v>13.112030207028999</v>
      </c>
      <c r="I58" s="16">
        <v>13.112030207028999</v>
      </c>
      <c r="J58" s="17">
        <v>0</v>
      </c>
      <c r="K58" s="25">
        <v>1000000</v>
      </c>
      <c r="L58" s="17">
        <v>6</v>
      </c>
      <c r="M58" s="25">
        <v>1000000</v>
      </c>
      <c r="N58" s="25">
        <v>0</v>
      </c>
      <c r="O58" s="18">
        <v>72</v>
      </c>
      <c r="P58" s="15" t="s">
        <v>17</v>
      </c>
    </row>
    <row r="59" spans="2:18" ht="15" customHeight="1" x14ac:dyDescent="0.2">
      <c r="B59" s="13" t="s">
        <v>119</v>
      </c>
      <c r="C59" s="14" t="s">
        <v>16</v>
      </c>
      <c r="D59" s="15" t="s">
        <v>17</v>
      </c>
      <c r="E59" s="15" t="s">
        <v>120</v>
      </c>
      <c r="F59" s="15" t="s">
        <v>121</v>
      </c>
      <c r="G59" s="15" t="s">
        <v>122</v>
      </c>
      <c r="H59" s="16">
        <v>15.8295640488071</v>
      </c>
      <c r="I59" s="16">
        <v>15.4110173449148</v>
      </c>
      <c r="J59" s="17">
        <v>0.37476767582572101</v>
      </c>
      <c r="K59" s="25">
        <v>181510.495235154</v>
      </c>
      <c r="L59" s="17">
        <v>5.2589017417188799</v>
      </c>
      <c r="M59" s="25">
        <v>247333.350189911</v>
      </c>
      <c r="N59" s="25">
        <v>59882.534734582601</v>
      </c>
      <c r="O59" s="18">
        <v>72</v>
      </c>
      <c r="P59" s="15" t="s">
        <v>17</v>
      </c>
    </row>
    <row r="60" spans="2:18" ht="15" customHeight="1" x14ac:dyDescent="0.2">
      <c r="B60" s="13" t="s">
        <v>123</v>
      </c>
      <c r="C60" s="14" t="s">
        <v>16</v>
      </c>
      <c r="D60" s="15" t="s">
        <v>17</v>
      </c>
      <c r="E60" s="15" t="s">
        <v>120</v>
      </c>
      <c r="F60" s="15" t="s">
        <v>121</v>
      </c>
      <c r="G60" s="15" t="s">
        <v>122</v>
      </c>
      <c r="H60" s="16">
        <v>15.106534732182199</v>
      </c>
      <c r="I60" s="16">
        <v>15.4110173449148</v>
      </c>
      <c r="J60" s="17">
        <v>0.37476767582572101</v>
      </c>
      <c r="K60" s="25">
        <v>298586.85471549502</v>
      </c>
      <c r="L60" s="17">
        <v>5.4750706839978802</v>
      </c>
      <c r="M60" s="25">
        <v>247333.350189911</v>
      </c>
      <c r="N60" s="25">
        <v>59882.534734582601</v>
      </c>
      <c r="O60" s="18">
        <v>72</v>
      </c>
      <c r="P60" s="15" t="s">
        <v>17</v>
      </c>
    </row>
    <row r="61" spans="2:18" ht="15" customHeight="1" x14ac:dyDescent="0.2">
      <c r="B61" s="13" t="s">
        <v>124</v>
      </c>
      <c r="C61" s="14" t="s">
        <v>16</v>
      </c>
      <c r="D61" s="15" t="s">
        <v>17</v>
      </c>
      <c r="E61" s="15" t="s">
        <v>120</v>
      </c>
      <c r="F61" s="15" t="s">
        <v>121</v>
      </c>
      <c r="G61" s="15" t="s">
        <v>122</v>
      </c>
      <c r="H61" s="16">
        <v>15.296953253755101</v>
      </c>
      <c r="I61" s="16">
        <v>15.4110173449148</v>
      </c>
      <c r="J61" s="17">
        <v>0.37476767582572101</v>
      </c>
      <c r="K61" s="25">
        <v>261902.70061908301</v>
      </c>
      <c r="L61" s="17">
        <v>5.41813997669143</v>
      </c>
      <c r="M61" s="25">
        <v>247333.350189911</v>
      </c>
      <c r="N61" s="25">
        <v>59882.534734582601</v>
      </c>
      <c r="O61" s="18">
        <v>72</v>
      </c>
      <c r="P61" s="15" t="s">
        <v>17</v>
      </c>
    </row>
    <row r="62" spans="2:18" ht="15" customHeight="1" x14ac:dyDescent="0.2">
      <c r="B62" s="13" t="s">
        <v>125</v>
      </c>
      <c r="C62" s="14" t="s">
        <v>16</v>
      </c>
      <c r="D62" s="15" t="s">
        <v>17</v>
      </c>
      <c r="E62" s="15" t="s">
        <v>126</v>
      </c>
      <c r="F62" s="15" t="s">
        <v>127</v>
      </c>
      <c r="G62" s="15" t="s">
        <v>72</v>
      </c>
      <c r="H62" s="16">
        <v>29.5631305375043</v>
      </c>
      <c r="I62" s="16">
        <v>29.065124030676301</v>
      </c>
      <c r="J62" s="17">
        <v>0.75725880128700396</v>
      </c>
      <c r="K62" s="25">
        <v>14.219519239572699</v>
      </c>
      <c r="L62" s="17">
        <v>1.1528849131918999</v>
      </c>
      <c r="M62" s="25">
        <v>22.071479432237801</v>
      </c>
      <c r="N62" s="25">
        <v>12.513562733535601</v>
      </c>
      <c r="O62" s="12">
        <v>72</v>
      </c>
      <c r="P62" s="9" t="s">
        <v>17</v>
      </c>
      <c r="Q62" s="26">
        <f>AVERAGE(K62:K63)</f>
        <v>14.856125793845351</v>
      </c>
      <c r="R62" s="1">
        <f>_xlfn.STDEV.S(K62:K63)</f>
        <v>0.90029762294798599</v>
      </c>
    </row>
    <row r="63" spans="2:18" ht="15" customHeight="1" x14ac:dyDescent="0.2">
      <c r="B63" s="13" t="s">
        <v>128</v>
      </c>
      <c r="C63" s="14" t="s">
        <v>16</v>
      </c>
      <c r="D63" s="15" t="s">
        <v>17</v>
      </c>
      <c r="E63" s="15" t="s">
        <v>126</v>
      </c>
      <c r="F63" s="15" t="s">
        <v>127</v>
      </c>
      <c r="G63" s="15" t="s">
        <v>72</v>
      </c>
      <c r="H63" s="16">
        <v>29.438561964439302</v>
      </c>
      <c r="I63" s="16">
        <v>29.065124030676301</v>
      </c>
      <c r="J63" s="17">
        <v>0.75725880128700396</v>
      </c>
      <c r="K63" s="25">
        <v>15.492732348118</v>
      </c>
      <c r="L63" s="17">
        <v>1.19012801808613</v>
      </c>
      <c r="M63" s="25">
        <v>22.071479432237801</v>
      </c>
      <c r="N63" s="25">
        <v>12.513562733535601</v>
      </c>
      <c r="O63" s="12">
        <v>72</v>
      </c>
      <c r="P63" s="9" t="s">
        <v>17</v>
      </c>
    </row>
    <row r="64" spans="2:18" ht="15" customHeight="1" x14ac:dyDescent="0.2">
      <c r="B64" s="13" t="s">
        <v>129</v>
      </c>
      <c r="C64" s="14" t="s">
        <v>16</v>
      </c>
      <c r="D64" s="15" t="s">
        <v>17</v>
      </c>
      <c r="E64" s="15" t="s">
        <v>126</v>
      </c>
      <c r="F64" s="15" t="s">
        <v>127</v>
      </c>
      <c r="G64" s="15" t="s">
        <v>72</v>
      </c>
      <c r="H64" s="16">
        <v>28.1936795900852</v>
      </c>
      <c r="I64" s="16">
        <v>29.065124030676301</v>
      </c>
      <c r="J64" s="17">
        <v>0.75725880128700396</v>
      </c>
      <c r="K64" s="25">
        <v>36.502186709022602</v>
      </c>
      <c r="L64" s="17">
        <v>1.56231888218841</v>
      </c>
      <c r="M64" s="25">
        <v>22.071479432237801</v>
      </c>
      <c r="N64" s="25">
        <v>12.513562733535601</v>
      </c>
      <c r="O64" s="12">
        <v>72</v>
      </c>
      <c r="P64" s="9" t="s">
        <v>17</v>
      </c>
    </row>
    <row r="65" spans="2:16" ht="15" customHeight="1" x14ac:dyDescent="0.2">
      <c r="B65" s="13" t="s">
        <v>130</v>
      </c>
      <c r="C65" s="14" t="s">
        <v>16</v>
      </c>
      <c r="D65" s="15" t="s">
        <v>17</v>
      </c>
      <c r="E65" s="15" t="s">
        <v>131</v>
      </c>
      <c r="F65" s="15" t="s">
        <v>132</v>
      </c>
      <c r="G65" s="15" t="s">
        <v>133</v>
      </c>
      <c r="H65" s="16">
        <v>23.600966992132399</v>
      </c>
      <c r="I65" s="16">
        <v>23.9024387470158</v>
      </c>
      <c r="J65" s="17">
        <v>0.26221086061122001</v>
      </c>
      <c r="K65" s="25">
        <v>861.85277852218906</v>
      </c>
      <c r="L65" s="17">
        <v>2.9354330860845601</v>
      </c>
      <c r="M65" s="25">
        <v>708.20763580744006</v>
      </c>
      <c r="N65" s="25">
        <v>133.47915967703099</v>
      </c>
      <c r="O65" s="18">
        <v>72</v>
      </c>
      <c r="P65" s="15" t="s">
        <v>17</v>
      </c>
    </row>
    <row r="66" spans="2:16" ht="15" customHeight="1" x14ac:dyDescent="0.2">
      <c r="B66" s="13" t="s">
        <v>134</v>
      </c>
      <c r="C66" s="14" t="s">
        <v>16</v>
      </c>
      <c r="D66" s="15" t="s">
        <v>17</v>
      </c>
      <c r="E66" s="15" t="s">
        <v>131</v>
      </c>
      <c r="F66" s="15" t="s">
        <v>132</v>
      </c>
      <c r="G66" s="15" t="s">
        <v>133</v>
      </c>
      <c r="H66" s="16">
        <v>24.0288719254687</v>
      </c>
      <c r="I66" s="16">
        <v>23.9024387470158</v>
      </c>
      <c r="J66" s="17">
        <v>0.26221086061122001</v>
      </c>
      <c r="K66" s="25">
        <v>641.94743436451495</v>
      </c>
      <c r="L66" s="17">
        <v>2.8074994674768399</v>
      </c>
      <c r="M66" s="25">
        <v>708.20763580744006</v>
      </c>
      <c r="N66" s="25">
        <v>133.47915967703099</v>
      </c>
      <c r="O66" s="18">
        <v>72</v>
      </c>
      <c r="P66" s="15" t="s">
        <v>17</v>
      </c>
    </row>
    <row r="67" spans="2:16" ht="15" customHeight="1" x14ac:dyDescent="0.2">
      <c r="B67" s="13" t="s">
        <v>135</v>
      </c>
      <c r="C67" s="14" t="s">
        <v>16</v>
      </c>
      <c r="D67" s="15" t="s">
        <v>17</v>
      </c>
      <c r="E67" s="15" t="s">
        <v>131</v>
      </c>
      <c r="F67" s="15" t="s">
        <v>132</v>
      </c>
      <c r="G67" s="15" t="s">
        <v>133</v>
      </c>
      <c r="H67" s="16">
        <v>24.0774773234461</v>
      </c>
      <c r="I67" s="16">
        <v>23.9024387470158</v>
      </c>
      <c r="J67" s="17">
        <v>0.26221086061122001</v>
      </c>
      <c r="K67" s="25">
        <v>620.82269453561503</v>
      </c>
      <c r="L67" s="17">
        <v>2.7929675844283501</v>
      </c>
      <c r="M67" s="25">
        <v>708.20763580744006</v>
      </c>
      <c r="N67" s="25">
        <v>133.47915967703099</v>
      </c>
      <c r="O67" s="18">
        <v>72</v>
      </c>
      <c r="P67" s="15" t="s">
        <v>17</v>
      </c>
    </row>
    <row r="68" spans="2:16" ht="15" customHeight="1" x14ac:dyDescent="0.2">
      <c r="B68" s="13" t="s">
        <v>136</v>
      </c>
      <c r="C68" s="14" t="s">
        <v>16</v>
      </c>
      <c r="D68" s="15" t="s">
        <v>17</v>
      </c>
      <c r="E68" s="15" t="s">
        <v>137</v>
      </c>
      <c r="F68" s="15" t="s">
        <v>138</v>
      </c>
      <c r="G68" s="15" t="s">
        <v>83</v>
      </c>
      <c r="H68" s="16">
        <v>19.3724242478078</v>
      </c>
      <c r="I68" s="16">
        <v>18.9789125341531</v>
      </c>
      <c r="J68" s="17">
        <v>0.340800396082305</v>
      </c>
      <c r="K68" s="25">
        <v>15836.8563427605</v>
      </c>
      <c r="L68" s="17">
        <v>4.1996689772226503</v>
      </c>
      <c r="M68" s="25">
        <v>21129.878047271301</v>
      </c>
      <c r="N68" s="25">
        <v>4584.0756084249397</v>
      </c>
      <c r="O68" s="18">
        <v>72</v>
      </c>
      <c r="P68" s="15" t="s">
        <v>17</v>
      </c>
    </row>
    <row r="69" spans="2:16" ht="15" customHeight="1" x14ac:dyDescent="0.2">
      <c r="B69" s="13" t="s">
        <v>139</v>
      </c>
      <c r="C69" s="14" t="s">
        <v>16</v>
      </c>
      <c r="D69" s="15" t="s">
        <v>17</v>
      </c>
      <c r="E69" s="15" t="s">
        <v>137</v>
      </c>
      <c r="F69" s="15" t="s">
        <v>138</v>
      </c>
      <c r="G69" s="15" t="s">
        <v>83</v>
      </c>
      <c r="H69" s="16">
        <v>18.784668326631401</v>
      </c>
      <c r="I69" s="16">
        <v>18.9789125341531</v>
      </c>
      <c r="J69" s="17">
        <v>0.340800396082305</v>
      </c>
      <c r="K69" s="25">
        <v>23735.277946730599</v>
      </c>
      <c r="L69" s="17">
        <v>4.3753943217937801</v>
      </c>
      <c r="M69" s="25">
        <v>21129.878047271301</v>
      </c>
      <c r="N69" s="25">
        <v>4584.0756084249397</v>
      </c>
      <c r="O69" s="18">
        <v>72</v>
      </c>
      <c r="P69" s="15" t="s">
        <v>17</v>
      </c>
    </row>
    <row r="70" spans="2:16" ht="15" customHeight="1" x14ac:dyDescent="0.2">
      <c r="B70" s="13" t="s">
        <v>140</v>
      </c>
      <c r="C70" s="14" t="s">
        <v>16</v>
      </c>
      <c r="D70" s="15" t="s">
        <v>17</v>
      </c>
      <c r="E70" s="15" t="s">
        <v>137</v>
      </c>
      <c r="F70" s="15" t="s">
        <v>138</v>
      </c>
      <c r="G70" s="15" t="s">
        <v>83</v>
      </c>
      <c r="H70" s="16">
        <v>18.779645028019999</v>
      </c>
      <c r="I70" s="16">
        <v>18.9789125341531</v>
      </c>
      <c r="J70" s="17">
        <v>0.340800396082305</v>
      </c>
      <c r="K70" s="25">
        <v>23817.4998523227</v>
      </c>
      <c r="L70" s="17">
        <v>4.3768961711968402</v>
      </c>
      <c r="M70" s="25">
        <v>21129.878047271301</v>
      </c>
      <c r="N70" s="25">
        <v>4584.0756084249397</v>
      </c>
      <c r="O70" s="18">
        <v>72</v>
      </c>
      <c r="P70" s="15" t="s">
        <v>17</v>
      </c>
    </row>
    <row r="71" spans="2:16" ht="15" customHeight="1" x14ac:dyDescent="0.2">
      <c r="B71" s="13" t="s">
        <v>141</v>
      </c>
      <c r="C71" s="14" t="s">
        <v>16</v>
      </c>
      <c r="D71" s="15" t="s">
        <v>17</v>
      </c>
      <c r="E71" s="15" t="s">
        <v>66</v>
      </c>
      <c r="F71" s="15" t="s">
        <v>17</v>
      </c>
      <c r="G71" s="15" t="s">
        <v>17</v>
      </c>
      <c r="H71" s="16">
        <v>17.041681556676799</v>
      </c>
      <c r="I71" s="16">
        <v>17.041681556676799</v>
      </c>
      <c r="J71" s="17">
        <v>0</v>
      </c>
      <c r="K71" s="25">
        <v>100000</v>
      </c>
      <c r="L71" s="17">
        <v>5</v>
      </c>
      <c r="M71" s="25">
        <v>100000</v>
      </c>
      <c r="N71" s="25">
        <v>0</v>
      </c>
      <c r="O71" s="18">
        <v>72</v>
      </c>
      <c r="P71" s="15" t="s">
        <v>17</v>
      </c>
    </row>
    <row r="72" spans="2:16" ht="15" customHeight="1" x14ac:dyDescent="0.2">
      <c r="B72" s="13" t="s">
        <v>142</v>
      </c>
      <c r="C72" s="14" t="s">
        <v>16</v>
      </c>
      <c r="D72" s="15" t="s">
        <v>17</v>
      </c>
      <c r="E72" s="15" t="s">
        <v>66</v>
      </c>
      <c r="F72" s="15" t="s">
        <v>17</v>
      </c>
      <c r="G72" s="15" t="s">
        <v>17</v>
      </c>
      <c r="H72" s="16">
        <v>16.903947024691199</v>
      </c>
      <c r="I72" s="16">
        <v>16.903947024691199</v>
      </c>
      <c r="J72" s="17">
        <v>0</v>
      </c>
      <c r="K72" s="25">
        <v>100000</v>
      </c>
      <c r="L72" s="17">
        <v>5</v>
      </c>
      <c r="M72" s="25">
        <v>100000</v>
      </c>
      <c r="N72" s="25">
        <v>0</v>
      </c>
      <c r="O72" s="18">
        <v>72</v>
      </c>
      <c r="P72" s="15" t="s">
        <v>17</v>
      </c>
    </row>
    <row r="73" spans="2:16" ht="15" customHeight="1" x14ac:dyDescent="0.2">
      <c r="B73" s="13" t="s">
        <v>143</v>
      </c>
      <c r="C73" s="14" t="s">
        <v>16</v>
      </c>
      <c r="D73" s="15" t="s">
        <v>17</v>
      </c>
      <c r="E73" s="15" t="s">
        <v>66</v>
      </c>
      <c r="F73" s="15" t="s">
        <v>17</v>
      </c>
      <c r="G73" s="15" t="s">
        <v>17</v>
      </c>
      <c r="H73" s="16">
        <v>16.962256436360601</v>
      </c>
      <c r="I73" s="16">
        <v>16.962256436360601</v>
      </c>
      <c r="J73" s="17">
        <v>0</v>
      </c>
      <c r="K73" s="25">
        <v>100000</v>
      </c>
      <c r="L73" s="17">
        <v>5</v>
      </c>
      <c r="M73" s="25">
        <v>100000</v>
      </c>
      <c r="N73" s="25">
        <v>0</v>
      </c>
      <c r="O73" s="18">
        <v>72</v>
      </c>
      <c r="P73" s="15" t="s">
        <v>17</v>
      </c>
    </row>
    <row r="74" spans="2:16" ht="15" customHeight="1" x14ac:dyDescent="0.2">
      <c r="B74" s="13" t="s">
        <v>144</v>
      </c>
      <c r="C74" s="14" t="s">
        <v>16</v>
      </c>
      <c r="D74" s="15" t="s">
        <v>17</v>
      </c>
      <c r="E74" s="15" t="s">
        <v>145</v>
      </c>
      <c r="F74" s="15" t="s">
        <v>146</v>
      </c>
      <c r="G74" s="15" t="s">
        <v>147</v>
      </c>
      <c r="H74" s="16">
        <v>17.429994399736</v>
      </c>
      <c r="I74" s="16">
        <v>17.807883982094001</v>
      </c>
      <c r="J74" s="17">
        <v>0.39015485598375799</v>
      </c>
      <c r="K74" s="25">
        <v>60312.913125273</v>
      </c>
      <c r="L74" s="17">
        <v>4.7804103054843301</v>
      </c>
      <c r="M74" s="25">
        <v>47613.359604025703</v>
      </c>
      <c r="N74" s="25">
        <v>12524.1980044969</v>
      </c>
      <c r="O74" s="18">
        <v>72</v>
      </c>
      <c r="P74" s="15" t="s">
        <v>17</v>
      </c>
    </row>
    <row r="75" spans="2:16" ht="15" customHeight="1" x14ac:dyDescent="0.2">
      <c r="B75" s="13" t="s">
        <v>148</v>
      </c>
      <c r="C75" s="14" t="s">
        <v>16</v>
      </c>
      <c r="D75" s="15" t="s">
        <v>17</v>
      </c>
      <c r="E75" s="15" t="s">
        <v>145</v>
      </c>
      <c r="F75" s="15" t="s">
        <v>146</v>
      </c>
      <c r="G75" s="15" t="s">
        <v>147</v>
      </c>
      <c r="H75" s="16">
        <v>17.7844131210562</v>
      </c>
      <c r="I75" s="16">
        <v>17.807883982094001</v>
      </c>
      <c r="J75" s="17">
        <v>0.39015485598375799</v>
      </c>
      <c r="K75" s="25">
        <v>47254.955050716198</v>
      </c>
      <c r="L75" s="17">
        <v>4.6744473543977696</v>
      </c>
      <c r="M75" s="25">
        <v>47613.359604025703</v>
      </c>
      <c r="N75" s="25">
        <v>12524.1980044969</v>
      </c>
      <c r="O75" s="18">
        <v>72</v>
      </c>
      <c r="P75" s="15" t="s">
        <v>17</v>
      </c>
    </row>
    <row r="76" spans="2:16" ht="15" customHeight="1" x14ac:dyDescent="0.2">
      <c r="B76" s="13" t="s">
        <v>149</v>
      </c>
      <c r="C76" s="14" t="s">
        <v>16</v>
      </c>
      <c r="D76" s="15" t="s">
        <v>17</v>
      </c>
      <c r="E76" s="15" t="s">
        <v>145</v>
      </c>
      <c r="F76" s="15" t="s">
        <v>146</v>
      </c>
      <c r="G76" s="15" t="s">
        <v>147</v>
      </c>
      <c r="H76" s="16">
        <v>18.2092444254897</v>
      </c>
      <c r="I76" s="16">
        <v>17.807883982094001</v>
      </c>
      <c r="J76" s="17">
        <v>0.39015485598375799</v>
      </c>
      <c r="K76" s="25">
        <v>35272.210636087999</v>
      </c>
      <c r="L76" s="17">
        <v>4.5474326793150199</v>
      </c>
      <c r="M76" s="25">
        <v>47613.359604025703</v>
      </c>
      <c r="N76" s="25">
        <v>12524.1980044969</v>
      </c>
      <c r="O76" s="18">
        <v>72</v>
      </c>
      <c r="P76" s="15" t="s">
        <v>17</v>
      </c>
    </row>
    <row r="77" spans="2:16" ht="15" customHeight="1" x14ac:dyDescent="0.2">
      <c r="B77" s="13" t="s">
        <v>150</v>
      </c>
      <c r="C77" s="14" t="s">
        <v>16</v>
      </c>
      <c r="D77" s="15" t="s">
        <v>17</v>
      </c>
      <c r="E77" s="15" t="s">
        <v>151</v>
      </c>
      <c r="F77" s="15" t="s">
        <v>152</v>
      </c>
      <c r="G77" s="15" t="s">
        <v>97</v>
      </c>
      <c r="H77" s="16">
        <v>15.3469399490758</v>
      </c>
      <c r="I77" s="16">
        <v>15.8150428691107</v>
      </c>
      <c r="J77" s="17">
        <v>0.408964176886704</v>
      </c>
      <c r="K77" s="25">
        <v>253043.46034130899</v>
      </c>
      <c r="L77" s="17">
        <v>5.4031951178772397</v>
      </c>
      <c r="M77" s="25">
        <v>188453.77843222101</v>
      </c>
      <c r="N77" s="25">
        <v>56235.988801685198</v>
      </c>
      <c r="O77" s="18">
        <v>72</v>
      </c>
      <c r="P77" s="15" t="s">
        <v>17</v>
      </c>
    </row>
    <row r="78" spans="2:16" ht="15" customHeight="1" x14ac:dyDescent="0.2">
      <c r="B78" s="13" t="s">
        <v>153</v>
      </c>
      <c r="C78" s="14" t="s">
        <v>16</v>
      </c>
      <c r="D78" s="15" t="s">
        <v>17</v>
      </c>
      <c r="E78" s="15" t="s">
        <v>151</v>
      </c>
      <c r="F78" s="15" t="s">
        <v>152</v>
      </c>
      <c r="G78" s="15" t="s">
        <v>97</v>
      </c>
      <c r="H78" s="16">
        <v>16.103052091940199</v>
      </c>
      <c r="I78" s="16">
        <v>15.8150428691107</v>
      </c>
      <c r="J78" s="17">
        <v>0.408964176886704</v>
      </c>
      <c r="K78" s="25">
        <v>150360.991318443</v>
      </c>
      <c r="L78" s="17">
        <v>5.1771351803212999</v>
      </c>
      <c r="M78" s="25">
        <v>188453.77843222101</v>
      </c>
      <c r="N78" s="25">
        <v>56235.988801685198</v>
      </c>
      <c r="O78" s="18">
        <v>72</v>
      </c>
      <c r="P78" s="15" t="s">
        <v>17</v>
      </c>
    </row>
    <row r="79" spans="2:16" ht="15" customHeight="1" x14ac:dyDescent="0.2">
      <c r="B79" s="13" t="s">
        <v>154</v>
      </c>
      <c r="C79" s="14" t="s">
        <v>16</v>
      </c>
      <c r="D79" s="15" t="s">
        <v>17</v>
      </c>
      <c r="E79" s="15" t="s">
        <v>151</v>
      </c>
      <c r="F79" s="15" t="s">
        <v>152</v>
      </c>
      <c r="G79" s="15" t="s">
        <v>97</v>
      </c>
      <c r="H79" s="16">
        <v>15.9951365663161</v>
      </c>
      <c r="I79" s="16">
        <v>15.8150428691107</v>
      </c>
      <c r="J79" s="17">
        <v>0.408964176886704</v>
      </c>
      <c r="K79" s="25">
        <v>161956.88363691201</v>
      </c>
      <c r="L79" s="17">
        <v>5.2093994115125604</v>
      </c>
      <c r="M79" s="25">
        <v>188453.77843222101</v>
      </c>
      <c r="N79" s="25">
        <v>56235.988801685198</v>
      </c>
      <c r="O79" s="18">
        <v>72</v>
      </c>
      <c r="P79" s="15" t="s">
        <v>17</v>
      </c>
    </row>
    <row r="80" spans="2:16" ht="15" customHeight="1" x14ac:dyDescent="0.2">
      <c r="B80" s="13" t="s">
        <v>155</v>
      </c>
      <c r="C80" s="14" t="s">
        <v>16</v>
      </c>
      <c r="D80" s="15" t="s">
        <v>17</v>
      </c>
      <c r="E80" s="15" t="s">
        <v>156</v>
      </c>
      <c r="F80" s="15" t="s">
        <v>157</v>
      </c>
      <c r="G80" s="15" t="s">
        <v>158</v>
      </c>
      <c r="H80" s="16">
        <v>15.0216416740138</v>
      </c>
      <c r="I80" s="16">
        <v>14.510875005273</v>
      </c>
      <c r="J80" s="17">
        <v>0.46050906883561599</v>
      </c>
      <c r="K80" s="25">
        <v>316556.86269112898</v>
      </c>
      <c r="L80" s="17">
        <v>5.5004517331049403</v>
      </c>
      <c r="M80" s="25">
        <v>464529.93764778099</v>
      </c>
      <c r="N80" s="25">
        <v>136620.901015991</v>
      </c>
      <c r="O80" s="18">
        <v>72</v>
      </c>
      <c r="P80" s="15" t="s">
        <v>17</v>
      </c>
    </row>
    <row r="81" spans="2:16" ht="15" customHeight="1" x14ac:dyDescent="0.2">
      <c r="B81" s="13" t="s">
        <v>159</v>
      </c>
      <c r="C81" s="14" t="s">
        <v>16</v>
      </c>
      <c r="D81" s="15" t="s">
        <v>17</v>
      </c>
      <c r="E81" s="15" t="s">
        <v>156</v>
      </c>
      <c r="F81" s="15" t="s">
        <v>157</v>
      </c>
      <c r="G81" s="15" t="s">
        <v>158</v>
      </c>
      <c r="H81" s="16">
        <v>14.1274031856377</v>
      </c>
      <c r="I81" s="16">
        <v>14.510875005273</v>
      </c>
      <c r="J81" s="17">
        <v>0.46050906883561599</v>
      </c>
      <c r="K81" s="25">
        <v>585879.40799903998</v>
      </c>
      <c r="L81" s="17">
        <v>5.7678082340554004</v>
      </c>
      <c r="M81" s="25">
        <v>464529.93764778099</v>
      </c>
      <c r="N81" s="25">
        <v>136620.901015991</v>
      </c>
      <c r="O81" s="18">
        <v>72</v>
      </c>
      <c r="P81" s="15" t="s">
        <v>17</v>
      </c>
    </row>
    <row r="82" spans="2:16" ht="15" customHeight="1" x14ac:dyDescent="0.2">
      <c r="B82" s="13" t="s">
        <v>160</v>
      </c>
      <c r="C82" s="14" t="s">
        <v>16</v>
      </c>
      <c r="D82" s="15" t="s">
        <v>17</v>
      </c>
      <c r="E82" s="15" t="s">
        <v>156</v>
      </c>
      <c r="F82" s="15" t="s">
        <v>157</v>
      </c>
      <c r="G82" s="15" t="s">
        <v>158</v>
      </c>
      <c r="H82" s="16">
        <v>14.3835801561676</v>
      </c>
      <c r="I82" s="16">
        <v>14.510875005273</v>
      </c>
      <c r="J82" s="17">
        <v>0.46050906883561599</v>
      </c>
      <c r="K82" s="25">
        <v>491153.542253174</v>
      </c>
      <c r="L82" s="17">
        <v>5.69121728057348</v>
      </c>
      <c r="M82" s="25">
        <v>464529.93764778099</v>
      </c>
      <c r="N82" s="25">
        <v>136620.901015991</v>
      </c>
      <c r="O82" s="18">
        <v>72</v>
      </c>
      <c r="P82" s="15" t="s">
        <v>17</v>
      </c>
    </row>
    <row r="83" spans="2:16" ht="15" customHeight="1" x14ac:dyDescent="0.2">
      <c r="B83" s="13" t="s">
        <v>161</v>
      </c>
      <c r="C83" s="14" t="s">
        <v>16</v>
      </c>
      <c r="D83" s="15" t="s">
        <v>17</v>
      </c>
      <c r="E83" s="15" t="s">
        <v>162</v>
      </c>
      <c r="F83" s="15" t="s">
        <v>163</v>
      </c>
      <c r="G83" s="15" t="s">
        <v>108</v>
      </c>
      <c r="H83" s="16">
        <v>18.5771541245179</v>
      </c>
      <c r="I83" s="16">
        <v>18.8541348883907</v>
      </c>
      <c r="J83" s="17">
        <v>0.24396497316936999</v>
      </c>
      <c r="K83" s="25">
        <v>27380.1762739519</v>
      </c>
      <c r="L83" s="17">
        <v>4.4374362398008298</v>
      </c>
      <c r="M83" s="25">
        <v>22846.043404189899</v>
      </c>
      <c r="N83" s="25">
        <v>3976.92647205103</v>
      </c>
      <c r="O83" s="18">
        <v>72</v>
      </c>
      <c r="P83" s="15" t="s">
        <v>17</v>
      </c>
    </row>
    <row r="84" spans="2:16" ht="15" customHeight="1" x14ac:dyDescent="0.2">
      <c r="B84" s="13" t="s">
        <v>164</v>
      </c>
      <c r="C84" s="14" t="s">
        <v>16</v>
      </c>
      <c r="D84" s="15" t="s">
        <v>17</v>
      </c>
      <c r="E84" s="15" t="s">
        <v>162</v>
      </c>
      <c r="F84" s="15" t="s">
        <v>163</v>
      </c>
      <c r="G84" s="15" t="s">
        <v>108</v>
      </c>
      <c r="H84" s="16">
        <v>19.0371241519634</v>
      </c>
      <c r="I84" s="16">
        <v>18.8541348883907</v>
      </c>
      <c r="J84" s="17">
        <v>0.24396497316936999</v>
      </c>
      <c r="K84" s="25">
        <v>19948.7599403356</v>
      </c>
      <c r="L84" s="17">
        <v>4.2999159041426704</v>
      </c>
      <c r="M84" s="25">
        <v>22846.043404189899</v>
      </c>
      <c r="N84" s="25">
        <v>3976.92647205103</v>
      </c>
      <c r="O84" s="18">
        <v>72</v>
      </c>
      <c r="P84" s="15" t="s">
        <v>17</v>
      </c>
    </row>
    <row r="85" spans="2:16" ht="15" customHeight="1" x14ac:dyDescent="0.2">
      <c r="B85" s="13" t="s">
        <v>165</v>
      </c>
      <c r="C85" s="14" t="s">
        <v>16</v>
      </c>
      <c r="D85" s="15" t="s">
        <v>17</v>
      </c>
      <c r="E85" s="15" t="s">
        <v>162</v>
      </c>
      <c r="F85" s="15" t="s">
        <v>163</v>
      </c>
      <c r="G85" s="15" t="s">
        <v>108</v>
      </c>
      <c r="H85" s="16">
        <v>18.9481263886906</v>
      </c>
      <c r="I85" s="16">
        <v>18.8541348883907</v>
      </c>
      <c r="J85" s="17">
        <v>0.24396497316936999</v>
      </c>
      <c r="K85" s="25">
        <v>21209.193998282299</v>
      </c>
      <c r="L85" s="17">
        <v>4.32652416456797</v>
      </c>
      <c r="M85" s="25">
        <v>22846.043404189899</v>
      </c>
      <c r="N85" s="25">
        <v>3976.92647205103</v>
      </c>
      <c r="O85" s="18">
        <v>72</v>
      </c>
      <c r="P85" s="15" t="s">
        <v>17</v>
      </c>
    </row>
    <row r="86" spans="2:16" ht="15" customHeight="1" x14ac:dyDescent="0.2">
      <c r="B86" s="13" t="s">
        <v>166</v>
      </c>
      <c r="C86" s="14" t="s">
        <v>16</v>
      </c>
      <c r="D86" s="15" t="s">
        <v>17</v>
      </c>
      <c r="E86" s="15" t="s">
        <v>66</v>
      </c>
      <c r="F86" s="15" t="s">
        <v>17</v>
      </c>
      <c r="G86" s="15" t="s">
        <v>17</v>
      </c>
      <c r="H86" s="16">
        <v>20.198471937756299</v>
      </c>
      <c r="I86" s="16">
        <v>20.198471937756299</v>
      </c>
      <c r="J86" s="17">
        <v>0</v>
      </c>
      <c r="K86" s="25">
        <v>10000</v>
      </c>
      <c r="L86" s="17">
        <v>4</v>
      </c>
      <c r="M86" s="25">
        <v>10000</v>
      </c>
      <c r="N86" s="25">
        <v>0</v>
      </c>
      <c r="O86" s="18">
        <v>72</v>
      </c>
      <c r="P86" s="15" t="s">
        <v>17</v>
      </c>
    </row>
    <row r="87" spans="2:16" ht="15" customHeight="1" x14ac:dyDescent="0.2">
      <c r="B87" s="13" t="s">
        <v>167</v>
      </c>
      <c r="C87" s="14" t="s">
        <v>16</v>
      </c>
      <c r="D87" s="15" t="s">
        <v>17</v>
      </c>
      <c r="E87" s="15" t="s">
        <v>66</v>
      </c>
      <c r="F87" s="15" t="s">
        <v>17</v>
      </c>
      <c r="G87" s="15" t="s">
        <v>17</v>
      </c>
      <c r="H87" s="16">
        <v>20.3731601714973</v>
      </c>
      <c r="I87" s="16">
        <v>20.3731601714973</v>
      </c>
      <c r="J87" s="17">
        <v>0</v>
      </c>
      <c r="K87" s="25">
        <v>10000</v>
      </c>
      <c r="L87" s="17">
        <v>4</v>
      </c>
      <c r="M87" s="25">
        <v>10000</v>
      </c>
      <c r="N87" s="25">
        <v>0</v>
      </c>
      <c r="O87" s="18">
        <v>72</v>
      </c>
      <c r="P87" s="15" t="s">
        <v>17</v>
      </c>
    </row>
    <row r="88" spans="2:16" ht="15" customHeight="1" x14ac:dyDescent="0.2">
      <c r="B88" s="13" t="s">
        <v>168</v>
      </c>
      <c r="C88" s="14" t="s">
        <v>16</v>
      </c>
      <c r="D88" s="15" t="s">
        <v>17</v>
      </c>
      <c r="E88" s="15" t="s">
        <v>66</v>
      </c>
      <c r="F88" s="15" t="s">
        <v>17</v>
      </c>
      <c r="G88" s="15" t="s">
        <v>17</v>
      </c>
      <c r="H88" s="16">
        <v>20.1431401880401</v>
      </c>
      <c r="I88" s="16">
        <v>20.1431401880401</v>
      </c>
      <c r="J88" s="17">
        <v>0</v>
      </c>
      <c r="K88" s="25">
        <v>10000</v>
      </c>
      <c r="L88" s="17">
        <v>4</v>
      </c>
      <c r="M88" s="25">
        <v>10000</v>
      </c>
      <c r="N88" s="25">
        <v>0</v>
      </c>
      <c r="O88" s="18">
        <v>72</v>
      </c>
      <c r="P88" s="15" t="s">
        <v>17</v>
      </c>
    </row>
    <row r="89" spans="2:16" ht="15" customHeight="1" x14ac:dyDescent="0.2">
      <c r="B89" s="13" t="s">
        <v>169</v>
      </c>
      <c r="C89" s="14" t="s">
        <v>16</v>
      </c>
      <c r="D89" s="15" t="s">
        <v>17</v>
      </c>
      <c r="E89" s="15" t="s">
        <v>170</v>
      </c>
      <c r="F89" s="15" t="s">
        <v>171</v>
      </c>
      <c r="G89" s="15" t="s">
        <v>172</v>
      </c>
      <c r="H89" s="16">
        <v>18.518274393957899</v>
      </c>
      <c r="I89" s="16">
        <v>17.974337389398599</v>
      </c>
      <c r="J89" s="17">
        <v>0.57825490122208401</v>
      </c>
      <c r="K89" s="25">
        <v>28512.802721440799</v>
      </c>
      <c r="L89" s="17">
        <v>4.4550399092291499</v>
      </c>
      <c r="M89" s="25">
        <v>43730.509444354801</v>
      </c>
      <c r="N89" s="25">
        <v>17587.989190608601</v>
      </c>
      <c r="O89" s="18">
        <v>72</v>
      </c>
      <c r="P89" s="15" t="s">
        <v>17</v>
      </c>
    </row>
    <row r="90" spans="2:16" ht="15" customHeight="1" x14ac:dyDescent="0.2">
      <c r="B90" s="13" t="s">
        <v>173</v>
      </c>
      <c r="C90" s="14" t="s">
        <v>16</v>
      </c>
      <c r="D90" s="15" t="s">
        <v>17</v>
      </c>
      <c r="E90" s="15" t="s">
        <v>170</v>
      </c>
      <c r="F90" s="15" t="s">
        <v>171</v>
      </c>
      <c r="G90" s="15" t="s">
        <v>172</v>
      </c>
      <c r="H90" s="16">
        <v>17.3669912908328</v>
      </c>
      <c r="I90" s="16">
        <v>17.974337389398599</v>
      </c>
      <c r="J90" s="17">
        <v>0.57825490122208401</v>
      </c>
      <c r="K90" s="25">
        <v>62986.397421562702</v>
      </c>
      <c r="L90" s="17">
        <v>4.7992467690947702</v>
      </c>
      <c r="M90" s="25">
        <v>43730.509444354801</v>
      </c>
      <c r="N90" s="25">
        <v>17587.989190608601</v>
      </c>
      <c r="O90" s="18">
        <v>72</v>
      </c>
      <c r="P90" s="15" t="s">
        <v>17</v>
      </c>
    </row>
    <row r="91" spans="2:16" ht="15" customHeight="1" x14ac:dyDescent="0.2">
      <c r="B91" s="13" t="s">
        <v>174</v>
      </c>
      <c r="C91" s="14" t="s">
        <v>16</v>
      </c>
      <c r="D91" s="15" t="s">
        <v>17</v>
      </c>
      <c r="E91" s="15" t="s">
        <v>170</v>
      </c>
      <c r="F91" s="15" t="s">
        <v>171</v>
      </c>
      <c r="G91" s="15" t="s">
        <v>172</v>
      </c>
      <c r="H91" s="16">
        <v>18.037746483405201</v>
      </c>
      <c r="I91" s="16">
        <v>17.974337389398599</v>
      </c>
      <c r="J91" s="17">
        <v>0.57825490122208401</v>
      </c>
      <c r="K91" s="25">
        <v>39692.328190061096</v>
      </c>
      <c r="L91" s="17">
        <v>4.5987065735970498</v>
      </c>
      <c r="M91" s="25">
        <v>43730.509444354801</v>
      </c>
      <c r="N91" s="25">
        <v>17587.989190608601</v>
      </c>
      <c r="O91" s="18">
        <v>72</v>
      </c>
      <c r="P91" s="15" t="s">
        <v>17</v>
      </c>
    </row>
    <row r="92" spans="2:16" ht="15" customHeight="1" x14ac:dyDescent="0.2">
      <c r="B92" s="13" t="s">
        <v>175</v>
      </c>
      <c r="C92" s="14" t="s">
        <v>16</v>
      </c>
      <c r="D92" s="15" t="s">
        <v>17</v>
      </c>
      <c r="E92" s="15" t="s">
        <v>176</v>
      </c>
      <c r="F92" s="15" t="s">
        <v>177</v>
      </c>
      <c r="G92" s="15" t="s">
        <v>122</v>
      </c>
      <c r="H92" s="16">
        <v>13.3588258471421</v>
      </c>
      <c r="I92" s="16">
        <v>13.708263857012</v>
      </c>
      <c r="J92" s="17">
        <v>0.47011702111759102</v>
      </c>
      <c r="K92" s="25">
        <v>994477.53064652195</v>
      </c>
      <c r="L92" s="17">
        <v>5.9975949750658204</v>
      </c>
      <c r="M92" s="25">
        <v>807900.12251014996</v>
      </c>
      <c r="N92" s="25">
        <v>237054.37866681401</v>
      </c>
      <c r="O92" s="18">
        <v>72</v>
      </c>
      <c r="P92" s="15" t="s">
        <v>17</v>
      </c>
    </row>
    <row r="93" spans="2:16" ht="15" customHeight="1" x14ac:dyDescent="0.2">
      <c r="B93" s="13" t="s">
        <v>178</v>
      </c>
      <c r="C93" s="14" t="s">
        <v>16</v>
      </c>
      <c r="D93" s="15" t="s">
        <v>17</v>
      </c>
      <c r="E93" s="15" t="s">
        <v>176</v>
      </c>
      <c r="F93" s="15" t="s">
        <v>177</v>
      </c>
      <c r="G93" s="15" t="s">
        <v>122</v>
      </c>
      <c r="H93" s="16">
        <v>13.5232192986333</v>
      </c>
      <c r="I93" s="16">
        <v>13.708263857012</v>
      </c>
      <c r="J93" s="17">
        <v>0.47011702111759102</v>
      </c>
      <c r="K93" s="25">
        <v>888065.82606812997</v>
      </c>
      <c r="L93" s="17">
        <v>5.9484451581644304</v>
      </c>
      <c r="M93" s="25">
        <v>807900.12251014996</v>
      </c>
      <c r="N93" s="25">
        <v>237054.37866681401</v>
      </c>
      <c r="O93" s="18">
        <v>72</v>
      </c>
      <c r="P93" s="15" t="s">
        <v>17</v>
      </c>
    </row>
    <row r="94" spans="2:16" ht="15" customHeight="1" x14ac:dyDescent="0.2">
      <c r="B94" s="13" t="s">
        <v>179</v>
      </c>
      <c r="C94" s="14" t="s">
        <v>16</v>
      </c>
      <c r="D94" s="15" t="s">
        <v>17</v>
      </c>
      <c r="E94" s="15" t="s">
        <v>176</v>
      </c>
      <c r="F94" s="15" t="s">
        <v>177</v>
      </c>
      <c r="G94" s="15" t="s">
        <v>122</v>
      </c>
      <c r="H94" s="16">
        <v>14.242746425260499</v>
      </c>
      <c r="I94" s="16">
        <v>13.708263857012</v>
      </c>
      <c r="J94" s="17">
        <v>0.47011702111759102</v>
      </c>
      <c r="K94" s="25">
        <v>541157.01081579702</v>
      </c>
      <c r="L94" s="17">
        <v>5.7333232892060204</v>
      </c>
      <c r="M94" s="25">
        <v>807900.12251014996</v>
      </c>
      <c r="N94" s="25">
        <v>237054.37866681401</v>
      </c>
      <c r="O94" s="18">
        <v>72</v>
      </c>
      <c r="P94" s="15" t="s">
        <v>17</v>
      </c>
    </row>
    <row r="95" spans="2:16" ht="15" customHeight="1" x14ac:dyDescent="0.2">
      <c r="B95" s="13" t="s">
        <v>180</v>
      </c>
      <c r="C95" s="14" t="s">
        <v>16</v>
      </c>
      <c r="D95" s="15" t="s">
        <v>17</v>
      </c>
      <c r="E95" s="15" t="s">
        <v>181</v>
      </c>
      <c r="F95" s="15" t="s">
        <v>182</v>
      </c>
      <c r="G95" s="15" t="s">
        <v>183</v>
      </c>
      <c r="H95" s="16">
        <v>15.927575788254901</v>
      </c>
      <c r="I95" s="16">
        <v>15.891132458899699</v>
      </c>
      <c r="J95" s="17">
        <v>0.19949974107344001</v>
      </c>
      <c r="K95" s="25">
        <v>169667.441971227</v>
      </c>
      <c r="L95" s="17">
        <v>5.2295985121537703</v>
      </c>
      <c r="M95" s="25">
        <v>175086.82446937999</v>
      </c>
      <c r="N95" s="25">
        <v>24419.522361176299</v>
      </c>
      <c r="O95" s="18">
        <v>72</v>
      </c>
      <c r="P95" s="15" t="s">
        <v>17</v>
      </c>
    </row>
    <row r="96" spans="2:16" ht="15" customHeight="1" x14ac:dyDescent="0.2">
      <c r="B96" s="13" t="s">
        <v>184</v>
      </c>
      <c r="C96" s="14" t="s">
        <v>16</v>
      </c>
      <c r="D96" s="15" t="s">
        <v>17</v>
      </c>
      <c r="E96" s="15" t="s">
        <v>181</v>
      </c>
      <c r="F96" s="15" t="s">
        <v>182</v>
      </c>
      <c r="G96" s="15" t="s">
        <v>183</v>
      </c>
      <c r="H96" s="16">
        <v>16.069898254476598</v>
      </c>
      <c r="I96" s="16">
        <v>15.891132458899699</v>
      </c>
      <c r="J96" s="17">
        <v>0.19949974107344001</v>
      </c>
      <c r="K96" s="25">
        <v>153832.25498811001</v>
      </c>
      <c r="L96" s="17">
        <v>5.1870474063019296</v>
      </c>
      <c r="M96" s="25">
        <v>175086.82446937999</v>
      </c>
      <c r="N96" s="25">
        <v>24419.522361176299</v>
      </c>
      <c r="O96" s="18">
        <v>72</v>
      </c>
      <c r="P96" s="15" t="s">
        <v>17</v>
      </c>
    </row>
    <row r="97" spans="2:16" ht="15" customHeight="1" x14ac:dyDescent="0.2">
      <c r="B97" s="13" t="s">
        <v>185</v>
      </c>
      <c r="C97" s="14" t="s">
        <v>16</v>
      </c>
      <c r="D97" s="15" t="s">
        <v>17</v>
      </c>
      <c r="E97" s="15" t="s">
        <v>181</v>
      </c>
      <c r="F97" s="15" t="s">
        <v>182</v>
      </c>
      <c r="G97" s="15" t="s">
        <v>183</v>
      </c>
      <c r="H97" s="16">
        <v>15.675923333967701</v>
      </c>
      <c r="I97" s="16">
        <v>15.891132458899699</v>
      </c>
      <c r="J97" s="17">
        <v>0.19949974107344001</v>
      </c>
      <c r="K97" s="25">
        <v>201760.77644880299</v>
      </c>
      <c r="L97" s="17">
        <v>5.3048367405552401</v>
      </c>
      <c r="M97" s="25">
        <v>175086.82446937999</v>
      </c>
      <c r="N97" s="25">
        <v>24419.522361176299</v>
      </c>
      <c r="O97" s="18">
        <v>72</v>
      </c>
      <c r="P97" s="15" t="s">
        <v>17</v>
      </c>
    </row>
    <row r="98" spans="2:16" ht="15" customHeight="1" x14ac:dyDescent="0.2">
      <c r="B98" s="13" t="s">
        <v>186</v>
      </c>
      <c r="C98" s="14" t="s">
        <v>16</v>
      </c>
      <c r="D98" s="15" t="s">
        <v>17</v>
      </c>
      <c r="E98" s="15" t="s">
        <v>187</v>
      </c>
      <c r="F98" s="15" t="s">
        <v>188</v>
      </c>
      <c r="G98" s="15" t="s">
        <v>189</v>
      </c>
      <c r="H98" s="16">
        <v>14.8012956996496</v>
      </c>
      <c r="I98" s="16">
        <v>15.079871820170199</v>
      </c>
      <c r="J98" s="17">
        <v>0.269883848572464</v>
      </c>
      <c r="K98" s="25">
        <v>368408.84836846899</v>
      </c>
      <c r="L98" s="17">
        <v>5.5663300524462302</v>
      </c>
      <c r="M98" s="25">
        <v>307649.505354202</v>
      </c>
      <c r="N98" s="25">
        <v>57441.1987556522</v>
      </c>
      <c r="O98" s="18">
        <v>72</v>
      </c>
      <c r="P98" s="15" t="s">
        <v>17</v>
      </c>
    </row>
    <row r="99" spans="2:16" ht="15" customHeight="1" x14ac:dyDescent="0.2">
      <c r="B99" s="13" t="s">
        <v>190</v>
      </c>
      <c r="C99" s="14" t="s">
        <v>16</v>
      </c>
      <c r="D99" s="15" t="s">
        <v>17</v>
      </c>
      <c r="E99" s="15" t="s">
        <v>187</v>
      </c>
      <c r="F99" s="15" t="s">
        <v>188</v>
      </c>
      <c r="G99" s="15" t="s">
        <v>189</v>
      </c>
      <c r="H99" s="16">
        <v>15.0981896339768</v>
      </c>
      <c r="I99" s="16">
        <v>15.079871820170199</v>
      </c>
      <c r="J99" s="17">
        <v>0.269883848572464</v>
      </c>
      <c r="K99" s="25">
        <v>300307.15122219501</v>
      </c>
      <c r="L99" s="17">
        <v>5.47756567418819</v>
      </c>
      <c r="M99" s="25">
        <v>307649.505354202</v>
      </c>
      <c r="N99" s="25">
        <v>57441.1987556522</v>
      </c>
      <c r="O99" s="18">
        <v>72</v>
      </c>
      <c r="P99" s="15" t="s">
        <v>17</v>
      </c>
    </row>
    <row r="100" spans="2:16" ht="15" customHeight="1" x14ac:dyDescent="0.2">
      <c r="B100" s="13" t="s">
        <v>191</v>
      </c>
      <c r="C100" s="14" t="s">
        <v>16</v>
      </c>
      <c r="D100" s="15" t="s">
        <v>17</v>
      </c>
      <c r="E100" s="15" t="s">
        <v>187</v>
      </c>
      <c r="F100" s="15" t="s">
        <v>188</v>
      </c>
      <c r="G100" s="15" t="s">
        <v>189</v>
      </c>
      <c r="H100" s="16">
        <v>15.340130126884199</v>
      </c>
      <c r="I100" s="16">
        <v>15.079871820170199</v>
      </c>
      <c r="J100" s="17">
        <v>0.269883848572464</v>
      </c>
      <c r="K100" s="25">
        <v>254232.51647194201</v>
      </c>
      <c r="L100" s="17">
        <v>5.4052310962620798</v>
      </c>
      <c r="M100" s="25">
        <v>307649.505354202</v>
      </c>
      <c r="N100" s="25">
        <v>57441.1987556522</v>
      </c>
      <c r="O100" s="18">
        <v>72</v>
      </c>
      <c r="P100" s="15" t="s">
        <v>17</v>
      </c>
    </row>
    <row r="101" spans="2:16" ht="15" customHeight="1" x14ac:dyDescent="0.2">
      <c r="B101" s="13" t="s">
        <v>192</v>
      </c>
      <c r="C101" s="14" t="s">
        <v>16</v>
      </c>
      <c r="D101" s="15" t="s">
        <v>17</v>
      </c>
      <c r="E101" s="15" t="s">
        <v>66</v>
      </c>
      <c r="F101" s="15" t="s">
        <v>17</v>
      </c>
      <c r="G101" s="15" t="s">
        <v>17</v>
      </c>
      <c r="H101" s="16">
        <v>23.206680788016602</v>
      </c>
      <c r="I101" s="16">
        <v>23.206680788016602</v>
      </c>
      <c r="J101" s="17">
        <v>0</v>
      </c>
      <c r="K101" s="25">
        <v>1000</v>
      </c>
      <c r="L101" s="17">
        <v>3</v>
      </c>
      <c r="M101" s="25">
        <v>1000</v>
      </c>
      <c r="N101" s="25">
        <v>0</v>
      </c>
      <c r="O101" s="18">
        <v>72</v>
      </c>
      <c r="P101" s="15" t="s">
        <v>17</v>
      </c>
    </row>
    <row r="102" spans="2:16" ht="15" customHeight="1" x14ac:dyDescent="0.2">
      <c r="B102" s="13" t="s">
        <v>193</v>
      </c>
      <c r="C102" s="14" t="s">
        <v>16</v>
      </c>
      <c r="D102" s="15" t="s">
        <v>17</v>
      </c>
      <c r="E102" s="15" t="s">
        <v>66</v>
      </c>
      <c r="F102" s="15" t="s">
        <v>17</v>
      </c>
      <c r="G102" s="15" t="s">
        <v>17</v>
      </c>
      <c r="H102" s="16">
        <v>22.812441591884799</v>
      </c>
      <c r="I102" s="16">
        <v>22.812441591884799</v>
      </c>
      <c r="J102" s="17">
        <v>0</v>
      </c>
      <c r="K102" s="25">
        <v>1000</v>
      </c>
      <c r="L102" s="17">
        <v>3</v>
      </c>
      <c r="M102" s="25">
        <v>1000</v>
      </c>
      <c r="N102" s="25">
        <v>0</v>
      </c>
      <c r="O102" s="18">
        <v>72</v>
      </c>
      <c r="P102" s="15" t="s">
        <v>17</v>
      </c>
    </row>
    <row r="103" spans="2:16" ht="15" customHeight="1" x14ac:dyDescent="0.2">
      <c r="B103" s="13" t="s">
        <v>194</v>
      </c>
      <c r="C103" s="14" t="s">
        <v>16</v>
      </c>
      <c r="D103" s="15" t="s">
        <v>17</v>
      </c>
      <c r="E103" s="15" t="s">
        <v>66</v>
      </c>
      <c r="F103" s="15" t="s">
        <v>17</v>
      </c>
      <c r="G103" s="15" t="s">
        <v>17</v>
      </c>
      <c r="H103" s="16">
        <v>23.206287039613201</v>
      </c>
      <c r="I103" s="16">
        <v>23.206287039613201</v>
      </c>
      <c r="J103" s="17">
        <v>0</v>
      </c>
      <c r="K103" s="25">
        <v>1000</v>
      </c>
      <c r="L103" s="17">
        <v>3</v>
      </c>
      <c r="M103" s="25">
        <v>1000</v>
      </c>
      <c r="N103" s="25">
        <v>0</v>
      </c>
      <c r="O103" s="18">
        <v>72</v>
      </c>
      <c r="P103" s="15" t="s">
        <v>17</v>
      </c>
    </row>
    <row r="104" spans="2:16" ht="15" customHeight="1" x14ac:dyDescent="0.2">
      <c r="B104" s="13" t="s">
        <v>195</v>
      </c>
      <c r="C104" s="14" t="s">
        <v>16</v>
      </c>
      <c r="D104" s="15" t="s">
        <v>17</v>
      </c>
      <c r="E104" s="15" t="s">
        <v>196</v>
      </c>
      <c r="F104" s="15" t="s">
        <v>197</v>
      </c>
      <c r="G104" s="15" t="s">
        <v>26</v>
      </c>
      <c r="H104" s="16">
        <v>16.8219253887147</v>
      </c>
      <c r="I104" s="16">
        <v>16.3760297145243</v>
      </c>
      <c r="J104" s="17">
        <v>0.386193063684108</v>
      </c>
      <c r="K104" s="25">
        <v>91666.107789045796</v>
      </c>
      <c r="L104" s="17">
        <v>4.9622087912756196</v>
      </c>
      <c r="M104" s="25">
        <v>127403.010423966</v>
      </c>
      <c r="N104" s="25">
        <v>30953.568134606699</v>
      </c>
      <c r="O104" s="18">
        <v>72</v>
      </c>
      <c r="P104" s="15" t="s">
        <v>17</v>
      </c>
    </row>
    <row r="105" spans="2:16" ht="15" customHeight="1" x14ac:dyDescent="0.2">
      <c r="B105" s="13" t="s">
        <v>198</v>
      </c>
      <c r="C105" s="14" t="s">
        <v>16</v>
      </c>
      <c r="D105" s="15" t="s">
        <v>17</v>
      </c>
      <c r="E105" s="15" t="s">
        <v>196</v>
      </c>
      <c r="F105" s="15" t="s">
        <v>197</v>
      </c>
      <c r="G105" s="15" t="s">
        <v>26</v>
      </c>
      <c r="H105" s="16">
        <v>16.147802839499601</v>
      </c>
      <c r="I105" s="16">
        <v>16.3760297145243</v>
      </c>
      <c r="J105" s="17">
        <v>0.386193063684108</v>
      </c>
      <c r="K105" s="25">
        <v>145799.403793548</v>
      </c>
      <c r="L105" s="17">
        <v>5.1637557480580796</v>
      </c>
      <c r="M105" s="25">
        <v>127403.010423966</v>
      </c>
      <c r="N105" s="25">
        <v>30953.568134606699</v>
      </c>
      <c r="O105" s="18">
        <v>72</v>
      </c>
      <c r="P105" s="15" t="s">
        <v>17</v>
      </c>
    </row>
    <row r="106" spans="2:16" ht="15" customHeight="1" x14ac:dyDescent="0.2">
      <c r="B106" s="13" t="s">
        <v>199</v>
      </c>
      <c r="C106" s="14" t="s">
        <v>16</v>
      </c>
      <c r="D106" s="15" t="s">
        <v>17</v>
      </c>
      <c r="E106" s="15" t="s">
        <v>196</v>
      </c>
      <c r="F106" s="15" t="s">
        <v>197</v>
      </c>
      <c r="G106" s="15" t="s">
        <v>26</v>
      </c>
      <c r="H106" s="16">
        <v>16.158360915358699</v>
      </c>
      <c r="I106" s="16">
        <v>16.3760297145243</v>
      </c>
      <c r="J106" s="17">
        <v>0.386193063684108</v>
      </c>
      <c r="K106" s="25">
        <v>144743.51968930499</v>
      </c>
      <c r="L106" s="17">
        <v>5.16059912904075</v>
      </c>
      <c r="M106" s="25">
        <v>127403.010423966</v>
      </c>
      <c r="N106" s="25">
        <v>30953.568134606699</v>
      </c>
      <c r="O106" s="18">
        <v>72</v>
      </c>
      <c r="P106" s="15" t="s">
        <v>17</v>
      </c>
    </row>
    <row r="107" spans="2:16" ht="15" customHeight="1" x14ac:dyDescent="0.2">
      <c r="B107" s="13" t="s">
        <v>200</v>
      </c>
      <c r="C107" s="14" t="s">
        <v>16</v>
      </c>
      <c r="D107" s="15" t="s">
        <v>17</v>
      </c>
      <c r="E107" s="15" t="s">
        <v>201</v>
      </c>
      <c r="F107" s="15" t="s">
        <v>202</v>
      </c>
      <c r="G107" s="15" t="s">
        <v>147</v>
      </c>
      <c r="H107" s="16">
        <v>16.7030379334707</v>
      </c>
      <c r="I107" s="16">
        <v>16.755775037126998</v>
      </c>
      <c r="J107" s="17">
        <v>0.14807116719688099</v>
      </c>
      <c r="K107" s="25">
        <v>99484.030992689004</v>
      </c>
      <c r="L107" s="17">
        <v>4.9977533741292</v>
      </c>
      <c r="M107" s="25">
        <v>96264.318843799701</v>
      </c>
      <c r="N107" s="25">
        <v>9564.9580356918395</v>
      </c>
      <c r="O107" s="18">
        <v>72</v>
      </c>
      <c r="P107" s="15" t="s">
        <v>17</v>
      </c>
    </row>
    <row r="108" spans="2:16" ht="15" customHeight="1" x14ac:dyDescent="0.2">
      <c r="B108" s="13" t="s">
        <v>203</v>
      </c>
      <c r="C108" s="14" t="s">
        <v>16</v>
      </c>
      <c r="D108" s="15" t="s">
        <v>17</v>
      </c>
      <c r="E108" s="15" t="s">
        <v>201</v>
      </c>
      <c r="F108" s="15" t="s">
        <v>202</v>
      </c>
      <c r="G108" s="15" t="s">
        <v>147</v>
      </c>
      <c r="H108" s="16">
        <v>16.9229951738895</v>
      </c>
      <c r="I108" s="16">
        <v>16.755775037126998</v>
      </c>
      <c r="J108" s="17">
        <v>0.14807116719688099</v>
      </c>
      <c r="K108" s="25">
        <v>85504.953903669099</v>
      </c>
      <c r="L108" s="17">
        <v>4.9319912771925196</v>
      </c>
      <c r="M108" s="25">
        <v>96264.318843799701</v>
      </c>
      <c r="N108" s="25">
        <v>9564.9580356918395</v>
      </c>
      <c r="O108" s="18">
        <v>72</v>
      </c>
      <c r="P108" s="15" t="s">
        <v>17</v>
      </c>
    </row>
    <row r="109" spans="2:16" ht="15" customHeight="1" x14ac:dyDescent="0.2">
      <c r="B109" s="13" t="s">
        <v>204</v>
      </c>
      <c r="C109" s="14" t="s">
        <v>16</v>
      </c>
      <c r="D109" s="15" t="s">
        <v>17</v>
      </c>
      <c r="E109" s="15" t="s">
        <v>201</v>
      </c>
      <c r="F109" s="15" t="s">
        <v>202</v>
      </c>
      <c r="G109" s="15" t="s">
        <v>147</v>
      </c>
      <c r="H109" s="16">
        <v>16.641292004020901</v>
      </c>
      <c r="I109" s="16">
        <v>16.755775037126998</v>
      </c>
      <c r="J109" s="17">
        <v>0.14807116719688099</v>
      </c>
      <c r="K109" s="25">
        <v>103803.971635041</v>
      </c>
      <c r="L109" s="17">
        <v>5.0162139703350297</v>
      </c>
      <c r="M109" s="25">
        <v>96264.318843799701</v>
      </c>
      <c r="N109" s="25">
        <v>9564.9580356918395</v>
      </c>
      <c r="O109" s="18">
        <v>72</v>
      </c>
      <c r="P109" s="15" t="s">
        <v>17</v>
      </c>
    </row>
    <row r="110" spans="2:16" ht="15" customHeight="1" x14ac:dyDescent="0.2">
      <c r="B110" s="13" t="s">
        <v>205</v>
      </c>
      <c r="C110" s="14" t="s">
        <v>16</v>
      </c>
      <c r="D110" s="15" t="s">
        <v>17</v>
      </c>
      <c r="E110" s="15" t="s">
        <v>206</v>
      </c>
      <c r="F110" s="15" t="s">
        <v>207</v>
      </c>
      <c r="G110" s="15" t="s">
        <v>38</v>
      </c>
      <c r="H110" s="16">
        <v>17.122812973520698</v>
      </c>
      <c r="I110" s="16">
        <v>17.011648746313199</v>
      </c>
      <c r="J110" s="17">
        <v>9.6517250677023103E-2</v>
      </c>
      <c r="K110" s="25">
        <v>74516.149345663202</v>
      </c>
      <c r="L110" s="17">
        <v>4.8722504044483301</v>
      </c>
      <c r="M110" s="25">
        <v>80559.511709620798</v>
      </c>
      <c r="N110" s="25">
        <v>5248.6964877913397</v>
      </c>
      <c r="O110" s="18">
        <v>72</v>
      </c>
      <c r="P110" s="15" t="s">
        <v>17</v>
      </c>
    </row>
    <row r="111" spans="2:16" ht="15" customHeight="1" x14ac:dyDescent="0.2">
      <c r="B111" s="13" t="s">
        <v>208</v>
      </c>
      <c r="C111" s="14" t="s">
        <v>16</v>
      </c>
      <c r="D111" s="15" t="s">
        <v>17</v>
      </c>
      <c r="E111" s="15" t="s">
        <v>206</v>
      </c>
      <c r="F111" s="15" t="s">
        <v>207</v>
      </c>
      <c r="G111" s="15" t="s">
        <v>38</v>
      </c>
      <c r="H111" s="16">
        <v>16.962956162465101</v>
      </c>
      <c r="I111" s="16">
        <v>17.011648746313199</v>
      </c>
      <c r="J111" s="17">
        <v>9.6517250677023103E-2</v>
      </c>
      <c r="K111" s="25">
        <v>83184.779818683703</v>
      </c>
      <c r="L111" s="17">
        <v>4.9200438714176897</v>
      </c>
      <c r="M111" s="25">
        <v>80559.511709620798</v>
      </c>
      <c r="N111" s="25">
        <v>5248.6964877913397</v>
      </c>
      <c r="O111" s="18">
        <v>72</v>
      </c>
      <c r="P111" s="15" t="s">
        <v>17</v>
      </c>
    </row>
    <row r="112" spans="2:16" ht="15" customHeight="1" x14ac:dyDescent="0.2">
      <c r="B112" s="13" t="s">
        <v>209</v>
      </c>
      <c r="C112" s="14" t="s">
        <v>16</v>
      </c>
      <c r="D112" s="15" t="s">
        <v>17</v>
      </c>
      <c r="E112" s="15" t="s">
        <v>206</v>
      </c>
      <c r="F112" s="15" t="s">
        <v>207</v>
      </c>
      <c r="G112" s="15" t="s">
        <v>38</v>
      </c>
      <c r="H112" s="16">
        <v>16.949177102953598</v>
      </c>
      <c r="I112" s="16">
        <v>17.011648746313199</v>
      </c>
      <c r="J112" s="17">
        <v>9.6517250677023103E-2</v>
      </c>
      <c r="K112" s="25">
        <v>83977.605964515504</v>
      </c>
      <c r="L112" s="17">
        <v>4.9241634896015096</v>
      </c>
      <c r="M112" s="25">
        <v>80559.511709620798</v>
      </c>
      <c r="N112" s="25">
        <v>5248.6964877913397</v>
      </c>
      <c r="O112" s="18">
        <v>72</v>
      </c>
      <c r="P112" s="15" t="s">
        <v>17</v>
      </c>
    </row>
    <row r="113" spans="2:16" ht="15" customHeight="1" x14ac:dyDescent="0.2">
      <c r="B113" s="13" t="s">
        <v>210</v>
      </c>
      <c r="C113" s="14" t="s">
        <v>16</v>
      </c>
      <c r="D113" s="15" t="s">
        <v>17</v>
      </c>
      <c r="E113" s="15" t="s">
        <v>211</v>
      </c>
      <c r="F113" s="15" t="s">
        <v>212</v>
      </c>
      <c r="G113" s="15" t="s">
        <v>213</v>
      </c>
      <c r="H113" s="16">
        <v>19.1764988178656</v>
      </c>
      <c r="I113" s="16">
        <v>20.0680286912478</v>
      </c>
      <c r="J113" s="17">
        <v>0.77556414082602199</v>
      </c>
      <c r="K113" s="25">
        <v>18123.669004834999</v>
      </c>
      <c r="L113" s="17">
        <v>4.2582461219971997</v>
      </c>
      <c r="M113" s="25">
        <v>10859.4617609324</v>
      </c>
      <c r="N113" s="25">
        <v>6301.5475513556603</v>
      </c>
      <c r="O113" s="18">
        <v>72</v>
      </c>
      <c r="P113" s="15" t="s">
        <v>17</v>
      </c>
    </row>
    <row r="114" spans="2:16" ht="15" customHeight="1" x14ac:dyDescent="0.2">
      <c r="B114" s="13" t="s">
        <v>214</v>
      </c>
      <c r="C114" s="14" t="s">
        <v>16</v>
      </c>
      <c r="D114" s="15" t="s">
        <v>17</v>
      </c>
      <c r="E114" s="15" t="s">
        <v>211</v>
      </c>
      <c r="F114" s="15" t="s">
        <v>212</v>
      </c>
      <c r="G114" s="15" t="s">
        <v>213</v>
      </c>
      <c r="H114" s="16">
        <v>20.587146202436699</v>
      </c>
      <c r="I114" s="16">
        <v>20.0680286912478</v>
      </c>
      <c r="J114" s="17">
        <v>0.77556414082602199</v>
      </c>
      <c r="K114" s="25">
        <v>6862.7057288419901</v>
      </c>
      <c r="L114" s="17">
        <v>3.8364953768478198</v>
      </c>
      <c r="M114" s="25">
        <v>10859.4617609324</v>
      </c>
      <c r="N114" s="25">
        <v>6301.5475513556603</v>
      </c>
      <c r="O114" s="18">
        <v>72</v>
      </c>
      <c r="P114" s="15" t="s">
        <v>17</v>
      </c>
    </row>
    <row r="115" spans="2:16" ht="15" customHeight="1" x14ac:dyDescent="0.2">
      <c r="B115" s="13" t="s">
        <v>215</v>
      </c>
      <c r="C115" s="14" t="s">
        <v>16</v>
      </c>
      <c r="D115" s="15" t="s">
        <v>17</v>
      </c>
      <c r="E115" s="15" t="s">
        <v>211</v>
      </c>
      <c r="F115" s="15" t="s">
        <v>212</v>
      </c>
      <c r="G115" s="15" t="s">
        <v>213</v>
      </c>
      <c r="H115" s="16">
        <v>20.440441053441301</v>
      </c>
      <c r="I115" s="16">
        <v>20.0680286912478</v>
      </c>
      <c r="J115" s="17">
        <v>0.77556414082602199</v>
      </c>
      <c r="K115" s="25">
        <v>7592.0105491200402</v>
      </c>
      <c r="L115" s="17">
        <v>3.88035680287306</v>
      </c>
      <c r="M115" s="25">
        <v>10859.4617609324</v>
      </c>
      <c r="N115" s="25">
        <v>6301.5475513556603</v>
      </c>
      <c r="O115" s="18">
        <v>72</v>
      </c>
      <c r="P115" s="15" t="s">
        <v>17</v>
      </c>
    </row>
    <row r="116" spans="2:16" ht="15" customHeight="1" x14ac:dyDescent="0.2">
      <c r="B116" s="13" t="s">
        <v>216</v>
      </c>
      <c r="C116" s="14" t="s">
        <v>16</v>
      </c>
      <c r="D116" s="15" t="s">
        <v>17</v>
      </c>
      <c r="E116" s="15" t="s">
        <v>217</v>
      </c>
      <c r="F116" s="15" t="s">
        <v>218</v>
      </c>
      <c r="G116" s="15" t="s">
        <v>50</v>
      </c>
      <c r="H116" s="16">
        <v>17.196796579198899</v>
      </c>
      <c r="I116" s="16">
        <v>17.016257975357501</v>
      </c>
      <c r="J116" s="17">
        <v>0.28535205778569001</v>
      </c>
      <c r="K116" s="25">
        <v>70815.940572592794</v>
      </c>
      <c r="L116" s="17">
        <v>4.8501310277955403</v>
      </c>
      <c r="M116" s="25">
        <v>81261.0727612232</v>
      </c>
      <c r="N116" s="25">
        <v>16739.754928333699</v>
      </c>
      <c r="O116" s="18">
        <v>72</v>
      </c>
      <c r="P116" s="15" t="s">
        <v>17</v>
      </c>
    </row>
    <row r="117" spans="2:16" ht="15" customHeight="1" x14ac:dyDescent="0.2">
      <c r="B117" s="13" t="s">
        <v>219</v>
      </c>
      <c r="C117" s="14" t="s">
        <v>16</v>
      </c>
      <c r="D117" s="15" t="s">
        <v>17</v>
      </c>
      <c r="E117" s="15" t="s">
        <v>217</v>
      </c>
      <c r="F117" s="15" t="s">
        <v>218</v>
      </c>
      <c r="G117" s="15" t="s">
        <v>50</v>
      </c>
      <c r="H117" s="16">
        <v>16.687283507437499</v>
      </c>
      <c r="I117" s="16">
        <v>17.016257975357501</v>
      </c>
      <c r="J117" s="17">
        <v>0.28535205778569001</v>
      </c>
      <c r="K117" s="25">
        <v>100568.872443669</v>
      </c>
      <c r="L117" s="17">
        <v>5.0024635809403302</v>
      </c>
      <c r="M117" s="25">
        <v>81261.0727612232</v>
      </c>
      <c r="N117" s="25">
        <v>16739.754928333699</v>
      </c>
      <c r="O117" s="18">
        <v>72</v>
      </c>
      <c r="P117" s="15" t="s">
        <v>17</v>
      </c>
    </row>
    <row r="118" spans="2:16" ht="15" customHeight="1" x14ac:dyDescent="0.2">
      <c r="B118" s="13" t="s">
        <v>220</v>
      </c>
      <c r="C118" s="14" t="s">
        <v>16</v>
      </c>
      <c r="D118" s="15" t="s">
        <v>17</v>
      </c>
      <c r="E118" s="15" t="s">
        <v>217</v>
      </c>
      <c r="F118" s="15" t="s">
        <v>218</v>
      </c>
      <c r="G118" s="15" t="s">
        <v>50</v>
      </c>
      <c r="H118" s="16">
        <v>17.1646938394362</v>
      </c>
      <c r="I118" s="16">
        <v>17.016257975357501</v>
      </c>
      <c r="J118" s="17">
        <v>0.28535205778569001</v>
      </c>
      <c r="K118" s="25">
        <v>72398.405267407798</v>
      </c>
      <c r="L118" s="17">
        <v>4.8597290000204501</v>
      </c>
      <c r="M118" s="25">
        <v>81261.0727612232</v>
      </c>
      <c r="N118" s="25">
        <v>16739.754928333699</v>
      </c>
      <c r="O118" s="18">
        <v>72</v>
      </c>
      <c r="P118" s="15" t="s">
        <v>17</v>
      </c>
    </row>
    <row r="119" spans="2:16" ht="15" customHeight="1" x14ac:dyDescent="0.2">
      <c r="B119" s="13" t="s">
        <v>221</v>
      </c>
      <c r="C119" s="14" t="s">
        <v>16</v>
      </c>
      <c r="D119" s="15" t="s">
        <v>17</v>
      </c>
      <c r="E119" s="15" t="s">
        <v>222</v>
      </c>
      <c r="F119" s="15" t="s">
        <v>223</v>
      </c>
      <c r="G119" s="15" t="s">
        <v>172</v>
      </c>
      <c r="H119" s="16">
        <v>16.9675653175393</v>
      </c>
      <c r="I119" s="16">
        <v>16.589683689585801</v>
      </c>
      <c r="J119" s="17">
        <v>0.33187467100323498</v>
      </c>
      <c r="K119" s="25">
        <v>82921.250197368005</v>
      </c>
      <c r="L119" s="17">
        <v>4.9186658412959803</v>
      </c>
      <c r="M119" s="25">
        <v>109365.351272057</v>
      </c>
      <c r="N119" s="25">
        <v>23369.480396274099</v>
      </c>
      <c r="O119" s="18">
        <v>72</v>
      </c>
      <c r="P119" s="15" t="s">
        <v>17</v>
      </c>
    </row>
    <row r="120" spans="2:16" ht="15" customHeight="1" x14ac:dyDescent="0.2">
      <c r="B120" s="13" t="s">
        <v>224</v>
      </c>
      <c r="C120" s="14" t="s">
        <v>16</v>
      </c>
      <c r="D120" s="15" t="s">
        <v>17</v>
      </c>
      <c r="E120" s="15" t="s">
        <v>222</v>
      </c>
      <c r="F120" s="15" t="s">
        <v>223</v>
      </c>
      <c r="G120" s="15" t="s">
        <v>172</v>
      </c>
      <c r="H120" s="16">
        <v>16.455923521626801</v>
      </c>
      <c r="I120" s="16">
        <v>16.589683689585801</v>
      </c>
      <c r="J120" s="17">
        <v>0.33187467100323498</v>
      </c>
      <c r="K120" s="25">
        <v>117932.860719719</v>
      </c>
      <c r="L120" s="17">
        <v>5.0716348334309602</v>
      </c>
      <c r="M120" s="25">
        <v>109365.351272057</v>
      </c>
      <c r="N120" s="25">
        <v>23369.480396274099</v>
      </c>
      <c r="O120" s="18">
        <v>72</v>
      </c>
      <c r="P120" s="15" t="s">
        <v>17</v>
      </c>
    </row>
    <row r="121" spans="2:16" ht="15" customHeight="1" x14ac:dyDescent="0.2">
      <c r="B121" s="13" t="s">
        <v>225</v>
      </c>
      <c r="C121" s="14" t="s">
        <v>16</v>
      </c>
      <c r="D121" s="15" t="s">
        <v>17</v>
      </c>
      <c r="E121" s="15" t="s">
        <v>222</v>
      </c>
      <c r="F121" s="15" t="s">
        <v>223</v>
      </c>
      <c r="G121" s="15" t="s">
        <v>172</v>
      </c>
      <c r="H121" s="16">
        <v>16.345562229591401</v>
      </c>
      <c r="I121" s="16">
        <v>16.589683689585801</v>
      </c>
      <c r="J121" s="17">
        <v>0.33187467100323498</v>
      </c>
      <c r="K121" s="25">
        <v>127241.942899085</v>
      </c>
      <c r="L121" s="17">
        <v>5.1046302918712696</v>
      </c>
      <c r="M121" s="25">
        <v>109365.351272057</v>
      </c>
      <c r="N121" s="25">
        <v>23369.480396274099</v>
      </c>
      <c r="O121" s="18">
        <v>72</v>
      </c>
      <c r="P121" s="15" t="s">
        <v>17</v>
      </c>
    </row>
    <row r="122" spans="2:16" ht="15" customHeight="1" x14ac:dyDescent="0.2">
      <c r="B122" s="13" t="s">
        <v>226</v>
      </c>
      <c r="C122" s="14" t="s">
        <v>16</v>
      </c>
      <c r="D122" s="15" t="s">
        <v>17</v>
      </c>
      <c r="E122" s="15" t="s">
        <v>227</v>
      </c>
      <c r="F122" s="15" t="s">
        <v>228</v>
      </c>
      <c r="G122" s="15" t="s">
        <v>62</v>
      </c>
      <c r="H122" s="16">
        <v>17.050914568191999</v>
      </c>
      <c r="I122" s="16">
        <v>17.143677180385598</v>
      </c>
      <c r="J122" s="17">
        <v>0.101602771565795</v>
      </c>
      <c r="K122" s="25">
        <v>78297.222222228796</v>
      </c>
      <c r="L122" s="17">
        <v>4.8937463547149402</v>
      </c>
      <c r="M122" s="25">
        <v>73572.6982549604</v>
      </c>
      <c r="N122" s="25">
        <v>5101.8249547601499</v>
      </c>
      <c r="O122" s="18">
        <v>72</v>
      </c>
      <c r="P122" s="15" t="s">
        <v>17</v>
      </c>
    </row>
    <row r="123" spans="2:16" ht="15" customHeight="1" x14ac:dyDescent="0.2">
      <c r="B123" s="13" t="s">
        <v>229</v>
      </c>
      <c r="C123" s="14" t="s">
        <v>16</v>
      </c>
      <c r="D123" s="15" t="s">
        <v>17</v>
      </c>
      <c r="E123" s="15" t="s">
        <v>227</v>
      </c>
      <c r="F123" s="15" t="s">
        <v>228</v>
      </c>
      <c r="G123" s="15" t="s">
        <v>62</v>
      </c>
      <c r="H123" s="16">
        <v>17.252263361887099</v>
      </c>
      <c r="I123" s="16">
        <v>17.143677180385598</v>
      </c>
      <c r="J123" s="17">
        <v>0.101602771565795</v>
      </c>
      <c r="K123" s="25">
        <v>68162.851517616495</v>
      </c>
      <c r="L123" s="17">
        <v>4.8335477503687097</v>
      </c>
      <c r="M123" s="25">
        <v>73572.6982549604</v>
      </c>
      <c r="N123" s="25">
        <v>5101.8249547601499</v>
      </c>
      <c r="O123" s="18">
        <v>72</v>
      </c>
      <c r="P123" s="15" t="s">
        <v>17</v>
      </c>
    </row>
    <row r="124" spans="2:16" ht="15" customHeight="1" x14ac:dyDescent="0.2">
      <c r="B124" s="13" t="s">
        <v>230</v>
      </c>
      <c r="C124" s="14" t="s">
        <v>16</v>
      </c>
      <c r="D124" s="15" t="s">
        <v>17</v>
      </c>
      <c r="E124" s="15" t="s">
        <v>227</v>
      </c>
      <c r="F124" s="15" t="s">
        <v>228</v>
      </c>
      <c r="G124" s="15" t="s">
        <v>62</v>
      </c>
      <c r="H124" s="16">
        <v>17.127853611077601</v>
      </c>
      <c r="I124" s="16">
        <v>17.143677180385598</v>
      </c>
      <c r="J124" s="17">
        <v>0.101602771565795</v>
      </c>
      <c r="K124" s="25">
        <v>74258.021025035807</v>
      </c>
      <c r="L124" s="17">
        <v>4.870743371104</v>
      </c>
      <c r="M124" s="25">
        <v>73572.6982549604</v>
      </c>
      <c r="N124" s="25">
        <v>5101.8249547601499</v>
      </c>
      <c r="O124" s="18">
        <v>72</v>
      </c>
      <c r="P124" s="15" t="s">
        <v>17</v>
      </c>
    </row>
    <row r="125" spans="2:16" ht="15" customHeight="1" x14ac:dyDescent="0.2">
      <c r="B125" s="13" t="s">
        <v>231</v>
      </c>
      <c r="C125" s="14" t="s">
        <v>16</v>
      </c>
      <c r="D125" s="15" t="s">
        <v>17</v>
      </c>
      <c r="E125" s="15" t="s">
        <v>232</v>
      </c>
      <c r="F125" s="15" t="s">
        <v>233</v>
      </c>
      <c r="G125" s="15" t="s">
        <v>189</v>
      </c>
      <c r="H125" s="16">
        <v>14.345948684775299</v>
      </c>
      <c r="I125" s="16">
        <v>14.949972838334</v>
      </c>
      <c r="J125" s="17">
        <v>0.52956952852680395</v>
      </c>
      <c r="K125" s="25">
        <v>504043.72786771698</v>
      </c>
      <c r="L125" s="17">
        <v>5.7024682149135204</v>
      </c>
      <c r="M125" s="25">
        <v>348396.76369474101</v>
      </c>
      <c r="N125" s="25">
        <v>135665.9633263</v>
      </c>
      <c r="O125" s="18">
        <v>72</v>
      </c>
      <c r="P125" s="15" t="s">
        <v>17</v>
      </c>
    </row>
    <row r="126" spans="2:16" ht="15" customHeight="1" x14ac:dyDescent="0.2">
      <c r="B126" s="13" t="s">
        <v>234</v>
      </c>
      <c r="C126" s="14" t="s">
        <v>16</v>
      </c>
      <c r="D126" s="15" t="s">
        <v>17</v>
      </c>
      <c r="E126" s="15" t="s">
        <v>232</v>
      </c>
      <c r="F126" s="15" t="s">
        <v>233</v>
      </c>
      <c r="G126" s="15" t="s">
        <v>189</v>
      </c>
      <c r="H126" s="16">
        <v>15.169462178958799</v>
      </c>
      <c r="I126" s="16">
        <v>14.949972838334</v>
      </c>
      <c r="J126" s="17">
        <v>0.52956952852680395</v>
      </c>
      <c r="K126" s="25">
        <v>285928.10212348797</v>
      </c>
      <c r="L126" s="17">
        <v>5.4562568416027704</v>
      </c>
      <c r="M126" s="25">
        <v>348396.76369474101</v>
      </c>
      <c r="N126" s="25">
        <v>135665.9633263</v>
      </c>
      <c r="O126" s="18">
        <v>72</v>
      </c>
      <c r="P126" s="15" t="s">
        <v>17</v>
      </c>
    </row>
    <row r="127" spans="2:16" ht="15" customHeight="1" x14ac:dyDescent="0.2">
      <c r="B127" s="13" t="s">
        <v>235</v>
      </c>
      <c r="C127" s="14" t="s">
        <v>16</v>
      </c>
      <c r="D127" s="15" t="s">
        <v>17</v>
      </c>
      <c r="E127" s="15" t="s">
        <v>232</v>
      </c>
      <c r="F127" s="15" t="s">
        <v>233</v>
      </c>
      <c r="G127" s="15" t="s">
        <v>189</v>
      </c>
      <c r="H127" s="16">
        <v>15.334507651267799</v>
      </c>
      <c r="I127" s="16">
        <v>14.949972838334</v>
      </c>
      <c r="J127" s="17">
        <v>0.52956952852680395</v>
      </c>
      <c r="K127" s="25">
        <v>255218.46109301699</v>
      </c>
      <c r="L127" s="17">
        <v>5.4069120856480604</v>
      </c>
      <c r="M127" s="25">
        <v>348396.76369474101</v>
      </c>
      <c r="N127" s="25">
        <v>135665.9633263</v>
      </c>
      <c r="O127" s="18">
        <v>72</v>
      </c>
      <c r="P127" s="15" t="s">
        <v>17</v>
      </c>
    </row>
    <row r="128" spans="2:16" ht="15" customHeight="1" x14ac:dyDescent="0.2">
      <c r="B128" s="13" t="s">
        <v>236</v>
      </c>
      <c r="C128" s="14" t="s">
        <v>16</v>
      </c>
      <c r="D128" s="15" t="s">
        <v>17</v>
      </c>
      <c r="E128" s="15" t="s">
        <v>237</v>
      </c>
      <c r="F128" s="15" t="s">
        <v>238</v>
      </c>
      <c r="G128" s="15" t="s">
        <v>20</v>
      </c>
      <c r="H128" s="16">
        <v>13.4979461371132</v>
      </c>
      <c r="I128" s="16">
        <v>13.024430199774701</v>
      </c>
      <c r="J128" s="17">
        <v>0.56951230631790295</v>
      </c>
      <c r="K128" s="25">
        <v>903652.06507716398</v>
      </c>
      <c r="L128" s="17">
        <v>5.95600124540492</v>
      </c>
      <c r="M128" s="25">
        <v>1320145.66434585</v>
      </c>
      <c r="N128" s="25">
        <v>542970.26121448004</v>
      </c>
      <c r="O128" s="12">
        <v>72</v>
      </c>
      <c r="P128" s="9" t="s">
        <v>17</v>
      </c>
    </row>
    <row r="129" spans="2:16" ht="15" customHeight="1" x14ac:dyDescent="0.2">
      <c r="B129" s="13" t="s">
        <v>239</v>
      </c>
      <c r="C129" s="14" t="s">
        <v>16</v>
      </c>
      <c r="D129" s="15" t="s">
        <v>17</v>
      </c>
      <c r="E129" s="15" t="s">
        <v>237</v>
      </c>
      <c r="F129" s="15" t="s">
        <v>238</v>
      </c>
      <c r="G129" s="15" t="s">
        <v>20</v>
      </c>
      <c r="H129" s="16">
        <v>12.3924744833103</v>
      </c>
      <c r="I129" s="16">
        <v>13.024430199774701</v>
      </c>
      <c r="J129" s="17">
        <v>0.56951230631790295</v>
      </c>
      <c r="K129" s="25">
        <v>1934245.2893855099</v>
      </c>
      <c r="L129" s="17">
        <v>6.28651154786058</v>
      </c>
      <c r="M129" s="25">
        <v>1320145.66434585</v>
      </c>
      <c r="N129" s="25">
        <v>542970.26121448004</v>
      </c>
      <c r="O129" s="12">
        <v>72</v>
      </c>
      <c r="P129" s="9" t="s">
        <v>17</v>
      </c>
    </row>
    <row r="130" spans="2:16" ht="15" customHeight="1" x14ac:dyDescent="0.2">
      <c r="B130" s="13" t="s">
        <v>240</v>
      </c>
      <c r="C130" s="14" t="s">
        <v>16</v>
      </c>
      <c r="D130" s="15" t="s">
        <v>17</v>
      </c>
      <c r="E130" s="15" t="s">
        <v>237</v>
      </c>
      <c r="F130" s="15" t="s">
        <v>238</v>
      </c>
      <c r="G130" s="15" t="s">
        <v>20</v>
      </c>
      <c r="H130" s="16">
        <v>13.182869978900699</v>
      </c>
      <c r="I130" s="16">
        <v>13.024430199774701</v>
      </c>
      <c r="J130" s="17">
        <v>0.56951230631790295</v>
      </c>
      <c r="K130" s="25">
        <v>1122539.6385748601</v>
      </c>
      <c r="L130" s="17">
        <v>6.0502016855420804</v>
      </c>
      <c r="M130" s="25">
        <v>1320145.66434585</v>
      </c>
      <c r="N130" s="25">
        <v>542970.26121448004</v>
      </c>
      <c r="O130" s="12">
        <v>72</v>
      </c>
      <c r="P130" s="9" t="s">
        <v>17</v>
      </c>
    </row>
    <row r="131" spans="2:16" ht="15" customHeight="1" x14ac:dyDescent="0.2">
      <c r="B131" s="13" t="s">
        <v>241</v>
      </c>
      <c r="C131" s="14" t="s">
        <v>16</v>
      </c>
      <c r="D131" s="15" t="s">
        <v>17</v>
      </c>
      <c r="E131" s="15" t="s">
        <v>242</v>
      </c>
      <c r="F131" s="15" t="s">
        <v>243</v>
      </c>
      <c r="G131" s="15" t="s">
        <v>26</v>
      </c>
      <c r="H131" s="16">
        <v>17.114053068629499</v>
      </c>
      <c r="I131" s="16">
        <v>17.019107569145898</v>
      </c>
      <c r="J131" s="17">
        <v>0.117843982028907</v>
      </c>
      <c r="K131" s="25">
        <v>74966.875787437399</v>
      </c>
      <c r="L131" s="17">
        <v>4.8748694121860003</v>
      </c>
      <c r="M131" s="25">
        <v>80208.252308146606</v>
      </c>
      <c r="N131" s="25">
        <v>6612.2716876847599</v>
      </c>
      <c r="O131" s="18">
        <v>72</v>
      </c>
      <c r="P131" s="15" t="s">
        <v>17</v>
      </c>
    </row>
    <row r="132" spans="2:16" ht="15" customHeight="1" x14ac:dyDescent="0.2">
      <c r="B132" s="13" t="s">
        <v>244</v>
      </c>
      <c r="C132" s="14" t="s">
        <v>16</v>
      </c>
      <c r="D132" s="15" t="s">
        <v>17</v>
      </c>
      <c r="E132" s="15" t="s">
        <v>242</v>
      </c>
      <c r="F132" s="15" t="s">
        <v>243</v>
      </c>
      <c r="G132" s="15" t="s">
        <v>26</v>
      </c>
      <c r="H132" s="16">
        <v>16.887217888659801</v>
      </c>
      <c r="I132" s="16">
        <v>17.019107569145898</v>
      </c>
      <c r="J132" s="17">
        <v>0.117843982028907</v>
      </c>
      <c r="K132" s="25">
        <v>87637.070766184697</v>
      </c>
      <c r="L132" s="17">
        <v>4.9426878530130098</v>
      </c>
      <c r="M132" s="25">
        <v>80208.252308146606</v>
      </c>
      <c r="N132" s="25">
        <v>6612.2716876847599</v>
      </c>
      <c r="O132" s="18">
        <v>72</v>
      </c>
      <c r="P132" s="15" t="s">
        <v>17</v>
      </c>
    </row>
    <row r="133" spans="2:16" ht="15" customHeight="1" x14ac:dyDescent="0.2">
      <c r="B133" s="13" t="s">
        <v>245</v>
      </c>
      <c r="C133" s="14" t="s">
        <v>16</v>
      </c>
      <c r="D133" s="15" t="s">
        <v>17</v>
      </c>
      <c r="E133" s="15" t="s">
        <v>242</v>
      </c>
      <c r="F133" s="15" t="s">
        <v>243</v>
      </c>
      <c r="G133" s="15" t="s">
        <v>26</v>
      </c>
      <c r="H133" s="16">
        <v>17.056051750148399</v>
      </c>
      <c r="I133" s="16">
        <v>17.019107569145898</v>
      </c>
      <c r="J133" s="17">
        <v>0.117843982028907</v>
      </c>
      <c r="K133" s="25">
        <v>78020.810370817693</v>
      </c>
      <c r="L133" s="17">
        <v>4.8922104568415303</v>
      </c>
      <c r="M133" s="25">
        <v>80208.252308146606</v>
      </c>
      <c r="N133" s="25">
        <v>6612.2716876847599</v>
      </c>
      <c r="O133" s="18">
        <v>72</v>
      </c>
      <c r="P133" s="15" t="s">
        <v>17</v>
      </c>
    </row>
    <row r="134" spans="2:16" ht="15" customHeight="1" x14ac:dyDescent="0.2">
      <c r="B134" s="13" t="s">
        <v>246</v>
      </c>
      <c r="C134" s="14" t="s">
        <v>16</v>
      </c>
      <c r="D134" s="15" t="s">
        <v>17</v>
      </c>
      <c r="E134" s="15" t="s">
        <v>247</v>
      </c>
      <c r="F134" s="15" t="s">
        <v>248</v>
      </c>
      <c r="G134" s="15" t="s">
        <v>32</v>
      </c>
      <c r="H134" s="16">
        <v>16.905409600138899</v>
      </c>
      <c r="I134" s="16">
        <v>16.8574454803096</v>
      </c>
      <c r="J134" s="17">
        <v>4.1935940736187297E-2</v>
      </c>
      <c r="K134" s="25">
        <v>86546.389432219599</v>
      </c>
      <c r="L134" s="17">
        <v>4.93724895456414</v>
      </c>
      <c r="M134" s="25">
        <v>89476.531859742405</v>
      </c>
      <c r="N134" s="25">
        <v>2563.0936214118701</v>
      </c>
      <c r="O134" s="18">
        <v>72</v>
      </c>
      <c r="P134" s="15" t="s">
        <v>17</v>
      </c>
    </row>
    <row r="135" spans="2:16" ht="15" customHeight="1" x14ac:dyDescent="0.2">
      <c r="B135" s="13" t="s">
        <v>249</v>
      </c>
      <c r="C135" s="14" t="s">
        <v>16</v>
      </c>
      <c r="D135" s="15" t="s">
        <v>17</v>
      </c>
      <c r="E135" s="15" t="s">
        <v>247</v>
      </c>
      <c r="F135" s="15" t="s">
        <v>248</v>
      </c>
      <c r="G135" s="15" t="s">
        <v>32</v>
      </c>
      <c r="H135" s="16">
        <v>16.827700996236899</v>
      </c>
      <c r="I135" s="16">
        <v>16.8574454803096</v>
      </c>
      <c r="J135" s="17">
        <v>4.1935940736187297E-2</v>
      </c>
      <c r="K135" s="25">
        <v>91302.363281876998</v>
      </c>
      <c r="L135" s="17">
        <v>4.9604820190128898</v>
      </c>
      <c r="M135" s="25">
        <v>89476.531859742405</v>
      </c>
      <c r="N135" s="25">
        <v>2563.0936214118701</v>
      </c>
      <c r="O135" s="18">
        <v>72</v>
      </c>
      <c r="P135" s="15" t="s">
        <v>17</v>
      </c>
    </row>
    <row r="136" spans="2:16" ht="15" customHeight="1" x14ac:dyDescent="0.2">
      <c r="B136" s="13" t="s">
        <v>250</v>
      </c>
      <c r="C136" s="14" t="s">
        <v>16</v>
      </c>
      <c r="D136" s="15" t="s">
        <v>17</v>
      </c>
      <c r="E136" s="15" t="s">
        <v>247</v>
      </c>
      <c r="F136" s="15" t="s">
        <v>248</v>
      </c>
      <c r="G136" s="15" t="s">
        <v>32</v>
      </c>
      <c r="H136" s="16">
        <v>16.8392258445529</v>
      </c>
      <c r="I136" s="16">
        <v>16.8574454803096</v>
      </c>
      <c r="J136" s="17">
        <v>4.1935940736187297E-2</v>
      </c>
      <c r="K136" s="25">
        <v>90580.8428651305</v>
      </c>
      <c r="L136" s="17">
        <v>4.9570363575257002</v>
      </c>
      <c r="M136" s="25">
        <v>89476.531859742405</v>
      </c>
      <c r="N136" s="25">
        <v>2563.0936214118701</v>
      </c>
      <c r="O136" s="18">
        <v>72</v>
      </c>
      <c r="P136" s="15" t="s">
        <v>17</v>
      </c>
    </row>
    <row r="137" spans="2:16" ht="15" customHeight="1" x14ac:dyDescent="0.2">
      <c r="B137" s="13" t="s">
        <v>251</v>
      </c>
      <c r="C137" s="14" t="s">
        <v>16</v>
      </c>
      <c r="D137" s="15" t="s">
        <v>17</v>
      </c>
      <c r="E137" s="15" t="s">
        <v>252</v>
      </c>
      <c r="F137" s="15" t="s">
        <v>253</v>
      </c>
      <c r="G137" s="15" t="s">
        <v>213</v>
      </c>
      <c r="H137" s="16">
        <v>18.674540734308302</v>
      </c>
      <c r="I137" s="16">
        <v>18.534944883572901</v>
      </c>
      <c r="J137" s="17">
        <v>0.24314132684374301</v>
      </c>
      <c r="K137" s="25">
        <v>25604.712835640701</v>
      </c>
      <c r="L137" s="17">
        <v>4.4083199094578198</v>
      </c>
      <c r="M137" s="25">
        <v>28459.810539641399</v>
      </c>
      <c r="N137" s="25">
        <v>4969.0289555433701</v>
      </c>
      <c r="O137" s="18">
        <v>72</v>
      </c>
      <c r="P137" s="15" t="s">
        <v>17</v>
      </c>
    </row>
    <row r="138" spans="2:16" ht="15" customHeight="1" x14ac:dyDescent="0.2">
      <c r="B138" s="13" t="s">
        <v>254</v>
      </c>
      <c r="C138" s="14" t="s">
        <v>16</v>
      </c>
      <c r="D138" s="15" t="s">
        <v>17</v>
      </c>
      <c r="E138" s="15" t="s">
        <v>252</v>
      </c>
      <c r="F138" s="15" t="s">
        <v>253</v>
      </c>
      <c r="G138" s="15" t="s">
        <v>213</v>
      </c>
      <c r="H138" s="16">
        <v>18.676103004960002</v>
      </c>
      <c r="I138" s="16">
        <v>18.534944883572901</v>
      </c>
      <c r="J138" s="17">
        <v>0.24314132684374301</v>
      </c>
      <c r="K138" s="25">
        <v>25577.189837379799</v>
      </c>
      <c r="L138" s="17">
        <v>4.4078528268837802</v>
      </c>
      <c r="M138" s="25">
        <v>28459.810539641399</v>
      </c>
      <c r="N138" s="25">
        <v>4969.0289555433701</v>
      </c>
      <c r="O138" s="18">
        <v>72</v>
      </c>
      <c r="P138" s="15" t="s">
        <v>17</v>
      </c>
    </row>
    <row r="139" spans="2:16" ht="15" customHeight="1" x14ac:dyDescent="0.2">
      <c r="B139" s="13" t="s">
        <v>255</v>
      </c>
      <c r="C139" s="14" t="s">
        <v>16</v>
      </c>
      <c r="D139" s="15" t="s">
        <v>17</v>
      </c>
      <c r="E139" s="15" t="s">
        <v>252</v>
      </c>
      <c r="F139" s="15" t="s">
        <v>253</v>
      </c>
      <c r="G139" s="15" t="s">
        <v>213</v>
      </c>
      <c r="H139" s="16">
        <v>18.254190911450301</v>
      </c>
      <c r="I139" s="16">
        <v>18.534944883572901</v>
      </c>
      <c r="J139" s="17">
        <v>0.24314132684374301</v>
      </c>
      <c r="K139" s="25">
        <v>34197.528945903599</v>
      </c>
      <c r="L139" s="17">
        <v>4.5339947258242601</v>
      </c>
      <c r="M139" s="25">
        <v>28459.810539641399</v>
      </c>
      <c r="N139" s="25">
        <v>4969.0289555433701</v>
      </c>
      <c r="O139" s="18">
        <v>72</v>
      </c>
      <c r="P139" s="15" t="s">
        <v>17</v>
      </c>
    </row>
    <row r="140" spans="2:16" ht="15" customHeight="1" x14ac:dyDescent="0.2">
      <c r="B140" s="13" t="s">
        <v>256</v>
      </c>
      <c r="C140" s="14" t="s">
        <v>16</v>
      </c>
      <c r="D140" s="15" t="s">
        <v>17</v>
      </c>
      <c r="E140" s="15" t="s">
        <v>257</v>
      </c>
      <c r="F140" s="15" t="s">
        <v>258</v>
      </c>
      <c r="G140" s="15" t="s">
        <v>44</v>
      </c>
      <c r="H140" s="16">
        <v>19.529273618548999</v>
      </c>
      <c r="I140" s="16">
        <v>19.4221479990901</v>
      </c>
      <c r="J140" s="17">
        <v>0.18492099828279199</v>
      </c>
      <c r="K140" s="25">
        <v>14215.909987382</v>
      </c>
      <c r="L140" s="17">
        <v>4.1527746649303996</v>
      </c>
      <c r="M140" s="25">
        <v>15388.733783845801</v>
      </c>
      <c r="N140" s="25">
        <v>2025.2619864456601</v>
      </c>
      <c r="O140" s="12">
        <v>72</v>
      </c>
      <c r="P140" s="9" t="s">
        <v>17</v>
      </c>
    </row>
    <row r="141" spans="2:16" ht="15" customHeight="1" x14ac:dyDescent="0.2">
      <c r="B141" s="13" t="s">
        <v>259</v>
      </c>
      <c r="C141" s="14" t="s">
        <v>16</v>
      </c>
      <c r="D141" s="15" t="s">
        <v>17</v>
      </c>
      <c r="E141" s="15" t="s">
        <v>257</v>
      </c>
      <c r="F141" s="15" t="s">
        <v>258</v>
      </c>
      <c r="G141" s="15" t="s">
        <v>44</v>
      </c>
      <c r="H141" s="16">
        <v>19.2086200311306</v>
      </c>
      <c r="I141" s="16">
        <v>19.4221479990901</v>
      </c>
      <c r="J141" s="17">
        <v>0.18492099828279199</v>
      </c>
      <c r="K141" s="25">
        <v>17727.301317453101</v>
      </c>
      <c r="L141" s="17">
        <v>4.24864262662493</v>
      </c>
      <c r="M141" s="25">
        <v>15388.733783845801</v>
      </c>
      <c r="N141" s="25">
        <v>2025.2619864456601</v>
      </c>
      <c r="O141" s="12">
        <v>72</v>
      </c>
      <c r="P141" s="9" t="s">
        <v>17</v>
      </c>
    </row>
    <row r="142" spans="2:16" ht="15" customHeight="1" x14ac:dyDescent="0.2">
      <c r="B142" s="13" t="s">
        <v>260</v>
      </c>
      <c r="C142" s="14" t="s">
        <v>16</v>
      </c>
      <c r="D142" s="15" t="s">
        <v>17</v>
      </c>
      <c r="E142" s="15" t="s">
        <v>257</v>
      </c>
      <c r="F142" s="15" t="s">
        <v>258</v>
      </c>
      <c r="G142" s="15" t="s">
        <v>44</v>
      </c>
      <c r="H142" s="16">
        <v>19.528550347590699</v>
      </c>
      <c r="I142" s="16">
        <v>19.4221479990901</v>
      </c>
      <c r="J142" s="17">
        <v>0.18492099828279199</v>
      </c>
      <c r="K142" s="25">
        <v>14222.9900467022</v>
      </c>
      <c r="L142" s="17">
        <v>4.1529909061179398</v>
      </c>
      <c r="M142" s="25">
        <v>15388.733783845801</v>
      </c>
      <c r="N142" s="25">
        <v>2025.2619864456601</v>
      </c>
      <c r="O142" s="12">
        <v>72</v>
      </c>
      <c r="P142" s="9" t="s">
        <v>17</v>
      </c>
    </row>
    <row r="143" spans="2:16" ht="15" customHeight="1" x14ac:dyDescent="0.2">
      <c r="B143" s="13" t="s">
        <v>261</v>
      </c>
      <c r="C143" s="14" t="s">
        <v>16</v>
      </c>
      <c r="D143" s="15" t="s">
        <v>17</v>
      </c>
      <c r="E143" s="15" t="s">
        <v>262</v>
      </c>
      <c r="F143" s="15" t="s">
        <v>263</v>
      </c>
      <c r="G143" s="15" t="s">
        <v>50</v>
      </c>
      <c r="H143" s="16">
        <v>19.094302344551501</v>
      </c>
      <c r="I143" s="16">
        <v>18.565994218901</v>
      </c>
      <c r="J143" s="17">
        <v>0.54067038869568396</v>
      </c>
      <c r="K143" s="25">
        <v>19178.779010423099</v>
      </c>
      <c r="L143" s="17">
        <v>4.2828209549767298</v>
      </c>
      <c r="M143" s="25">
        <v>28890.871041176699</v>
      </c>
      <c r="N143" s="25">
        <v>10695.2283074105</v>
      </c>
      <c r="O143" s="18">
        <v>72</v>
      </c>
      <c r="P143" s="15" t="s">
        <v>17</v>
      </c>
    </row>
    <row r="144" spans="2:16" ht="15" customHeight="1" x14ac:dyDescent="0.2">
      <c r="B144" s="13" t="s">
        <v>264</v>
      </c>
      <c r="C144" s="14" t="s">
        <v>16</v>
      </c>
      <c r="D144" s="15" t="s">
        <v>17</v>
      </c>
      <c r="E144" s="15" t="s">
        <v>262</v>
      </c>
      <c r="F144" s="15" t="s">
        <v>263</v>
      </c>
      <c r="G144" s="15" t="s">
        <v>50</v>
      </c>
      <c r="H144" s="16">
        <v>18.013756205653198</v>
      </c>
      <c r="I144" s="16">
        <v>18.565994218901</v>
      </c>
      <c r="J144" s="17">
        <v>0.54067038869568396</v>
      </c>
      <c r="K144" s="25">
        <v>40353.304862099401</v>
      </c>
      <c r="L144" s="17">
        <v>4.6058791084409396</v>
      </c>
      <c r="M144" s="25">
        <v>28890.871041176699</v>
      </c>
      <c r="N144" s="25">
        <v>10695.2283074105</v>
      </c>
      <c r="O144" s="18">
        <v>72</v>
      </c>
      <c r="P144" s="15" t="s">
        <v>17</v>
      </c>
    </row>
    <row r="145" spans="2:16" ht="15" customHeight="1" x14ac:dyDescent="0.2">
      <c r="B145" s="13" t="s">
        <v>265</v>
      </c>
      <c r="C145" s="14" t="s">
        <v>16</v>
      </c>
      <c r="D145" s="15" t="s">
        <v>17</v>
      </c>
      <c r="E145" s="15" t="s">
        <v>262</v>
      </c>
      <c r="F145" s="15" t="s">
        <v>263</v>
      </c>
      <c r="G145" s="15" t="s">
        <v>50</v>
      </c>
      <c r="H145" s="16">
        <v>18.589924106498199</v>
      </c>
      <c r="I145" s="16">
        <v>18.565994218901</v>
      </c>
      <c r="J145" s="17">
        <v>0.54067038869568396</v>
      </c>
      <c r="K145" s="25">
        <v>27140.5292510076</v>
      </c>
      <c r="L145" s="17">
        <v>4.4336183123196999</v>
      </c>
      <c r="M145" s="25">
        <v>28890.871041176699</v>
      </c>
      <c r="N145" s="25">
        <v>10695.2283074105</v>
      </c>
      <c r="O145" s="18">
        <v>72</v>
      </c>
      <c r="P145" s="15" t="s">
        <v>17</v>
      </c>
    </row>
    <row r="146" spans="2:16" ht="15" customHeight="1" x14ac:dyDescent="0.2">
      <c r="B146" s="13" t="s">
        <v>266</v>
      </c>
      <c r="C146" s="14" t="s">
        <v>16</v>
      </c>
      <c r="D146" s="15" t="s">
        <v>17</v>
      </c>
      <c r="E146" s="15" t="s">
        <v>267</v>
      </c>
      <c r="F146" s="15" t="s">
        <v>268</v>
      </c>
      <c r="G146" s="15" t="s">
        <v>56</v>
      </c>
      <c r="H146" s="16">
        <v>16.786268393617199</v>
      </c>
      <c r="I146" s="16">
        <v>17.220081831077799</v>
      </c>
      <c r="J146" s="17">
        <v>0.46636743193625202</v>
      </c>
      <c r="K146" s="25">
        <v>93944.076850366604</v>
      </c>
      <c r="L146" s="17">
        <v>4.9728694031455003</v>
      </c>
      <c r="M146" s="25">
        <v>72056.337549363801</v>
      </c>
      <c r="N146" s="25">
        <v>22164.224436954799</v>
      </c>
      <c r="O146" s="18">
        <v>72</v>
      </c>
      <c r="P146" s="15" t="s">
        <v>17</v>
      </c>
    </row>
    <row r="147" spans="2:16" ht="15" customHeight="1" x14ac:dyDescent="0.2">
      <c r="B147" s="13" t="s">
        <v>269</v>
      </c>
      <c r="C147" s="14" t="s">
        <v>16</v>
      </c>
      <c r="D147" s="15" t="s">
        <v>17</v>
      </c>
      <c r="E147" s="15" t="s">
        <v>267</v>
      </c>
      <c r="F147" s="15" t="s">
        <v>268</v>
      </c>
      <c r="G147" s="15" t="s">
        <v>56</v>
      </c>
      <c r="H147" s="16">
        <v>17.1606680697858</v>
      </c>
      <c r="I147" s="16">
        <v>17.220081831077799</v>
      </c>
      <c r="J147" s="17">
        <v>0.46636743193625202</v>
      </c>
      <c r="K147" s="25">
        <v>72599.329790179807</v>
      </c>
      <c r="L147" s="17">
        <v>4.8609326114746096</v>
      </c>
      <c r="M147" s="25">
        <v>72056.337549363801</v>
      </c>
      <c r="N147" s="25">
        <v>22164.224436954799</v>
      </c>
      <c r="O147" s="18">
        <v>72</v>
      </c>
      <c r="P147" s="15" t="s">
        <v>17</v>
      </c>
    </row>
    <row r="148" spans="2:16" ht="15" customHeight="1" x14ac:dyDescent="0.2">
      <c r="B148" s="13" t="s">
        <v>270</v>
      </c>
      <c r="C148" s="14" t="s">
        <v>16</v>
      </c>
      <c r="D148" s="15" t="s">
        <v>17</v>
      </c>
      <c r="E148" s="15" t="s">
        <v>267</v>
      </c>
      <c r="F148" s="15" t="s">
        <v>268</v>
      </c>
      <c r="G148" s="15" t="s">
        <v>56</v>
      </c>
      <c r="H148" s="16">
        <v>17.713309029830398</v>
      </c>
      <c r="I148" s="16">
        <v>17.220081831077799</v>
      </c>
      <c r="J148" s="17">
        <v>0.46636743193625202</v>
      </c>
      <c r="K148" s="25">
        <v>49625.606007544797</v>
      </c>
      <c r="L148" s="17">
        <v>4.6957058232296198</v>
      </c>
      <c r="M148" s="25">
        <v>72056.337549363801</v>
      </c>
      <c r="N148" s="25">
        <v>22164.224436954799</v>
      </c>
      <c r="O148" s="18">
        <v>72</v>
      </c>
      <c r="P148" s="15" t="s">
        <v>17</v>
      </c>
    </row>
    <row r="149" spans="2:16" ht="15" customHeight="1" x14ac:dyDescent="0.2">
      <c r="B149" s="13" t="s">
        <v>271</v>
      </c>
      <c r="C149" s="14" t="s">
        <v>16</v>
      </c>
      <c r="D149" s="15" t="s">
        <v>17</v>
      </c>
      <c r="E149" s="15" t="s">
        <v>272</v>
      </c>
      <c r="F149" s="15" t="s">
        <v>273</v>
      </c>
      <c r="G149" s="15" t="s">
        <v>274</v>
      </c>
      <c r="H149" s="16">
        <v>14.0722392293259</v>
      </c>
      <c r="I149" s="16">
        <v>13.9501405011528</v>
      </c>
      <c r="J149" s="17">
        <v>0.68639307315730302</v>
      </c>
      <c r="K149" s="25">
        <v>608556.59521794005</v>
      </c>
      <c r="L149" s="17">
        <v>5.7843009734418498</v>
      </c>
      <c r="M149" s="25">
        <v>714151.34334077698</v>
      </c>
      <c r="N149" s="25">
        <v>346431.49875975802</v>
      </c>
      <c r="O149" s="18">
        <v>72</v>
      </c>
      <c r="P149" s="15" t="s">
        <v>17</v>
      </c>
    </row>
    <row r="150" spans="2:16" ht="15" customHeight="1" x14ac:dyDescent="0.2">
      <c r="B150" s="13" t="s">
        <v>275</v>
      </c>
      <c r="C150" s="14" t="s">
        <v>16</v>
      </c>
      <c r="D150" s="15" t="s">
        <v>17</v>
      </c>
      <c r="E150" s="15" t="s">
        <v>272</v>
      </c>
      <c r="F150" s="15" t="s">
        <v>273</v>
      </c>
      <c r="G150" s="15" t="s">
        <v>274</v>
      </c>
      <c r="H150" s="16">
        <v>13.2108917738166</v>
      </c>
      <c r="I150" s="16">
        <v>13.9501405011528</v>
      </c>
      <c r="J150" s="17">
        <v>0.68639307315730302</v>
      </c>
      <c r="K150" s="25">
        <v>1101092.5415402299</v>
      </c>
      <c r="L150" s="17">
        <v>6.0418238208712198</v>
      </c>
      <c r="M150" s="25">
        <v>714151.34334077698</v>
      </c>
      <c r="N150" s="25">
        <v>346431.49875975802</v>
      </c>
      <c r="O150" s="18">
        <v>72</v>
      </c>
      <c r="P150" s="15" t="s">
        <v>17</v>
      </c>
    </row>
    <row r="151" spans="2:16" ht="15" customHeight="1" x14ac:dyDescent="0.2">
      <c r="B151" s="13" t="s">
        <v>276</v>
      </c>
      <c r="C151" s="14" t="s">
        <v>16</v>
      </c>
      <c r="D151" s="15" t="s">
        <v>17</v>
      </c>
      <c r="E151" s="15" t="s">
        <v>272</v>
      </c>
      <c r="F151" s="15" t="s">
        <v>273</v>
      </c>
      <c r="G151" s="15" t="s">
        <v>274</v>
      </c>
      <c r="H151" s="16">
        <v>14.567290500315901</v>
      </c>
      <c r="I151" s="16">
        <v>13.9501405011528</v>
      </c>
      <c r="J151" s="17">
        <v>0.68639307315730302</v>
      </c>
      <c r="K151" s="25">
        <v>432804.89326416398</v>
      </c>
      <c r="L151" s="17">
        <v>5.63629216223163</v>
      </c>
      <c r="M151" s="25">
        <v>714151.34334077698</v>
      </c>
      <c r="N151" s="25">
        <v>346431.49875975802</v>
      </c>
      <c r="O151" s="18">
        <v>72</v>
      </c>
      <c r="P151" s="15" t="s">
        <v>17</v>
      </c>
    </row>
    <row r="152" spans="2:16" ht="15" customHeight="1" x14ac:dyDescent="0.2">
      <c r="B152" s="13" t="s">
        <v>277</v>
      </c>
      <c r="C152" s="14" t="s">
        <v>16</v>
      </c>
      <c r="D152" s="15" t="s">
        <v>17</v>
      </c>
      <c r="E152" s="15" t="s">
        <v>278</v>
      </c>
      <c r="F152" s="15" t="s">
        <v>279</v>
      </c>
      <c r="G152" s="15" t="s">
        <v>72</v>
      </c>
      <c r="H152" s="16">
        <v>25.002712327481099</v>
      </c>
      <c r="I152" s="16">
        <v>24.8530278287374</v>
      </c>
      <c r="J152" s="17">
        <v>0.25860379247586901</v>
      </c>
      <c r="K152" s="25">
        <v>328.355160785907</v>
      </c>
      <c r="L152" s="17">
        <v>2.5163438465204599</v>
      </c>
      <c r="M152" s="25">
        <v>367.98326187088901</v>
      </c>
      <c r="N152" s="25">
        <v>68.489241781766793</v>
      </c>
      <c r="O152" s="12">
        <v>72</v>
      </c>
      <c r="P152" s="9" t="s">
        <v>17</v>
      </c>
    </row>
    <row r="153" spans="2:16" ht="15" customHeight="1" x14ac:dyDescent="0.2">
      <c r="B153" s="13" t="s">
        <v>280</v>
      </c>
      <c r="C153" s="14" t="s">
        <v>16</v>
      </c>
      <c r="D153" s="15" t="s">
        <v>17</v>
      </c>
      <c r="E153" s="15" t="s">
        <v>278</v>
      </c>
      <c r="F153" s="15" t="s">
        <v>279</v>
      </c>
      <c r="G153" s="15" t="s">
        <v>72</v>
      </c>
      <c r="H153" s="16">
        <v>24.554418212196499</v>
      </c>
      <c r="I153" s="16">
        <v>24.8530278287374</v>
      </c>
      <c r="J153" s="17">
        <v>0.25860379247586901</v>
      </c>
      <c r="K153" s="25">
        <v>447.06776410003499</v>
      </c>
      <c r="L153" s="17">
        <v>2.6503733561167602</v>
      </c>
      <c r="M153" s="25">
        <v>367.98326187088901</v>
      </c>
      <c r="N153" s="25">
        <v>68.489241781766793</v>
      </c>
      <c r="O153" s="12">
        <v>72</v>
      </c>
      <c r="P153" s="9" t="s">
        <v>17</v>
      </c>
    </row>
    <row r="154" spans="2:16" ht="15" customHeight="1" x14ac:dyDescent="0.2">
      <c r="B154" s="13" t="s">
        <v>281</v>
      </c>
      <c r="C154" s="14" t="s">
        <v>16</v>
      </c>
      <c r="D154" s="15" t="s">
        <v>17</v>
      </c>
      <c r="E154" s="15" t="s">
        <v>278</v>
      </c>
      <c r="F154" s="15" t="s">
        <v>279</v>
      </c>
      <c r="G154" s="15" t="s">
        <v>72</v>
      </c>
      <c r="H154" s="16">
        <v>25.001952946534701</v>
      </c>
      <c r="I154" s="16">
        <v>24.8530278287374</v>
      </c>
      <c r="J154" s="17">
        <v>0.25860379247586901</v>
      </c>
      <c r="K154" s="25">
        <v>328.52686072672498</v>
      </c>
      <c r="L154" s="17">
        <v>2.5165708837542198</v>
      </c>
      <c r="M154" s="25">
        <v>367.98326187088901</v>
      </c>
      <c r="N154" s="25">
        <v>68.489241781766793</v>
      </c>
      <c r="O154" s="12">
        <v>72</v>
      </c>
      <c r="P154" s="9" t="s">
        <v>17</v>
      </c>
    </row>
    <row r="155" spans="2:16" ht="15" customHeight="1" x14ac:dyDescent="0.2">
      <c r="B155" s="13" t="s">
        <v>282</v>
      </c>
      <c r="C155" s="14" t="s">
        <v>16</v>
      </c>
      <c r="D155" s="15" t="s">
        <v>17</v>
      </c>
      <c r="E155" s="15" t="s">
        <v>283</v>
      </c>
      <c r="F155" s="15" t="s">
        <v>284</v>
      </c>
      <c r="G155" s="15" t="s">
        <v>133</v>
      </c>
      <c r="H155" s="16">
        <v>24.2476926320907</v>
      </c>
      <c r="I155" s="16">
        <v>24.194495717068499</v>
      </c>
      <c r="J155" s="17">
        <v>5.1203456145844602E-2</v>
      </c>
      <c r="K155" s="25">
        <v>552.17554398500295</v>
      </c>
      <c r="L155" s="17">
        <v>2.7420771677006299</v>
      </c>
      <c r="M155" s="25">
        <v>573.00894454345405</v>
      </c>
      <c r="N155" s="25">
        <v>20.1510533763187</v>
      </c>
      <c r="O155" s="18">
        <v>72</v>
      </c>
      <c r="P155" s="15" t="s">
        <v>17</v>
      </c>
    </row>
    <row r="156" spans="2:16" ht="15" customHeight="1" x14ac:dyDescent="0.2">
      <c r="B156" s="13" t="s">
        <v>285</v>
      </c>
      <c r="C156" s="14" t="s">
        <v>16</v>
      </c>
      <c r="D156" s="15" t="s">
        <v>17</v>
      </c>
      <c r="E156" s="15" t="s">
        <v>283</v>
      </c>
      <c r="F156" s="15" t="s">
        <v>284</v>
      </c>
      <c r="G156" s="15" t="s">
        <v>133</v>
      </c>
      <c r="H156" s="16">
        <v>24.145550893066002</v>
      </c>
      <c r="I156" s="16">
        <v>24.194495717068499</v>
      </c>
      <c r="J156" s="17">
        <v>5.1203456145844602E-2</v>
      </c>
      <c r="K156" s="25">
        <v>592.40016531424806</v>
      </c>
      <c r="L156" s="17">
        <v>2.77261517104272</v>
      </c>
      <c r="M156" s="25">
        <v>573.00894454345405</v>
      </c>
      <c r="N156" s="25">
        <v>20.1510533763187</v>
      </c>
      <c r="O156" s="18">
        <v>72</v>
      </c>
      <c r="P156" s="15" t="s">
        <v>17</v>
      </c>
    </row>
    <row r="157" spans="2:16" ht="15" customHeight="1" x14ac:dyDescent="0.2">
      <c r="B157" s="13" t="s">
        <v>286</v>
      </c>
      <c r="C157" s="14" t="s">
        <v>16</v>
      </c>
      <c r="D157" s="15" t="s">
        <v>17</v>
      </c>
      <c r="E157" s="15" t="s">
        <v>283</v>
      </c>
      <c r="F157" s="15" t="s">
        <v>284</v>
      </c>
      <c r="G157" s="15" t="s">
        <v>133</v>
      </c>
      <c r="H157" s="16">
        <v>24.1902436260489</v>
      </c>
      <c r="I157" s="16">
        <v>24.194495717068499</v>
      </c>
      <c r="J157" s="17">
        <v>5.1203456145844602E-2</v>
      </c>
      <c r="K157" s="25">
        <v>574.45112433111206</v>
      </c>
      <c r="L157" s="17">
        <v>2.7592530837879798</v>
      </c>
      <c r="M157" s="25">
        <v>573.00894454345405</v>
      </c>
      <c r="N157" s="25">
        <v>20.1510533763187</v>
      </c>
      <c r="O157" s="18">
        <v>72</v>
      </c>
      <c r="P157" s="15" t="s">
        <v>17</v>
      </c>
    </row>
    <row r="158" spans="2:16" ht="15" customHeight="1" x14ac:dyDescent="0.2">
      <c r="B158" s="13" t="s">
        <v>287</v>
      </c>
      <c r="C158" s="14" t="s">
        <v>16</v>
      </c>
      <c r="D158" s="15" t="s">
        <v>17</v>
      </c>
      <c r="E158" s="15" t="s">
        <v>288</v>
      </c>
      <c r="F158" s="15" t="s">
        <v>289</v>
      </c>
      <c r="G158" s="15" t="s">
        <v>83</v>
      </c>
      <c r="H158" s="16">
        <v>18.039260627832</v>
      </c>
      <c r="I158" s="16">
        <v>17.9164573521841</v>
      </c>
      <c r="J158" s="17">
        <v>0.26483621474257202</v>
      </c>
      <c r="K158" s="25">
        <v>39650.975798839398</v>
      </c>
      <c r="L158" s="17">
        <v>4.5982538796444601</v>
      </c>
      <c r="M158" s="25">
        <v>43644.170498136002</v>
      </c>
      <c r="N158" s="25">
        <v>8304.9536038584502</v>
      </c>
      <c r="O158" s="18">
        <v>72</v>
      </c>
      <c r="P158" s="15" t="s">
        <v>17</v>
      </c>
    </row>
    <row r="159" spans="2:16" ht="15" customHeight="1" x14ac:dyDescent="0.2">
      <c r="B159" s="13" t="s">
        <v>290</v>
      </c>
      <c r="C159" s="14" t="s">
        <v>16</v>
      </c>
      <c r="D159" s="15" t="s">
        <v>17</v>
      </c>
      <c r="E159" s="15" t="s">
        <v>288</v>
      </c>
      <c r="F159" s="15" t="s">
        <v>289</v>
      </c>
      <c r="G159" s="15" t="s">
        <v>83</v>
      </c>
      <c r="H159" s="16">
        <v>18.097600013936098</v>
      </c>
      <c r="I159" s="16">
        <v>17.9164573521841</v>
      </c>
      <c r="J159" s="17">
        <v>0.26483621474257202</v>
      </c>
      <c r="K159" s="25">
        <v>38090.069109761898</v>
      </c>
      <c r="L159" s="17">
        <v>4.5808117606357701</v>
      </c>
      <c r="M159" s="25">
        <v>43644.170498136002</v>
      </c>
      <c r="N159" s="25">
        <v>8304.9536038584502</v>
      </c>
      <c r="O159" s="18">
        <v>72</v>
      </c>
      <c r="P159" s="15" t="s">
        <v>17</v>
      </c>
    </row>
    <row r="160" spans="2:16" ht="15" customHeight="1" x14ac:dyDescent="0.2">
      <c r="B160" s="13" t="s">
        <v>291</v>
      </c>
      <c r="C160" s="14" t="s">
        <v>16</v>
      </c>
      <c r="D160" s="15" t="s">
        <v>17</v>
      </c>
      <c r="E160" s="15" t="s">
        <v>288</v>
      </c>
      <c r="F160" s="15" t="s">
        <v>289</v>
      </c>
      <c r="G160" s="15" t="s">
        <v>83</v>
      </c>
      <c r="H160" s="16">
        <v>17.612511414784201</v>
      </c>
      <c r="I160" s="16">
        <v>17.9164573521841</v>
      </c>
      <c r="J160" s="17">
        <v>0.26483621474257202</v>
      </c>
      <c r="K160" s="25">
        <v>53191.466585806797</v>
      </c>
      <c r="L160" s="17">
        <v>4.7258419647770999</v>
      </c>
      <c r="M160" s="25">
        <v>43644.170498136002</v>
      </c>
      <c r="N160" s="25">
        <v>8304.9536038584502</v>
      </c>
      <c r="O160" s="18">
        <v>72</v>
      </c>
      <c r="P160" s="15" t="s">
        <v>17</v>
      </c>
    </row>
    <row r="161" spans="2:16" ht="15" customHeight="1" x14ac:dyDescent="0.2">
      <c r="B161" s="13" t="s">
        <v>292</v>
      </c>
      <c r="C161" s="14" t="s">
        <v>16</v>
      </c>
      <c r="D161" s="15" t="s">
        <v>17</v>
      </c>
      <c r="E161" s="15" t="s">
        <v>293</v>
      </c>
      <c r="F161" s="15" t="s">
        <v>294</v>
      </c>
      <c r="G161" s="15" t="s">
        <v>295</v>
      </c>
      <c r="H161" s="16">
        <v>14.9919234472734</v>
      </c>
      <c r="I161" s="16">
        <v>15.426517762478699</v>
      </c>
      <c r="J161" s="17">
        <v>0.47568885932846999</v>
      </c>
      <c r="K161" s="25">
        <v>323099.87605630001</v>
      </c>
      <c r="L161" s="17">
        <v>5.50933679141884</v>
      </c>
      <c r="M161" s="25">
        <v>247980.18047261299</v>
      </c>
      <c r="N161" s="25">
        <v>77211.160218674995</v>
      </c>
      <c r="O161" s="18">
        <v>72</v>
      </c>
      <c r="P161" s="15" t="s">
        <v>17</v>
      </c>
    </row>
    <row r="162" spans="2:16" ht="15" customHeight="1" x14ac:dyDescent="0.2">
      <c r="B162" s="13" t="s">
        <v>296</v>
      </c>
      <c r="C162" s="14" t="s">
        <v>16</v>
      </c>
      <c r="D162" s="15" t="s">
        <v>17</v>
      </c>
      <c r="E162" s="15" t="s">
        <v>293</v>
      </c>
      <c r="F162" s="15" t="s">
        <v>294</v>
      </c>
      <c r="G162" s="15" t="s">
        <v>295</v>
      </c>
      <c r="H162" s="16">
        <v>15.3529099067476</v>
      </c>
      <c r="I162" s="16">
        <v>15.426517762478699</v>
      </c>
      <c r="J162" s="17">
        <v>0.47568885932846999</v>
      </c>
      <c r="K162" s="25">
        <v>252005.62772450401</v>
      </c>
      <c r="L162" s="17">
        <v>5.4014102394418897</v>
      </c>
      <c r="M162" s="25">
        <v>247980.18047261299</v>
      </c>
      <c r="N162" s="25">
        <v>77211.160218674995</v>
      </c>
      <c r="O162" s="18">
        <v>72</v>
      </c>
      <c r="P162" s="15" t="s">
        <v>17</v>
      </c>
    </row>
    <row r="163" spans="2:16" ht="15" customHeight="1" x14ac:dyDescent="0.2">
      <c r="B163" s="13" t="s">
        <v>297</v>
      </c>
      <c r="C163" s="14" t="s">
        <v>16</v>
      </c>
      <c r="D163" s="15" t="s">
        <v>17</v>
      </c>
      <c r="E163" s="15" t="s">
        <v>293</v>
      </c>
      <c r="F163" s="15" t="s">
        <v>294</v>
      </c>
      <c r="G163" s="15" t="s">
        <v>295</v>
      </c>
      <c r="H163" s="16">
        <v>15.934719933415</v>
      </c>
      <c r="I163" s="16">
        <v>15.426517762478699</v>
      </c>
      <c r="J163" s="17">
        <v>0.47568885932846999</v>
      </c>
      <c r="K163" s="25">
        <v>168835.03763703399</v>
      </c>
      <c r="L163" s="17">
        <v>5.2274625789803304</v>
      </c>
      <c r="M163" s="25">
        <v>247980.18047261299</v>
      </c>
      <c r="N163" s="25">
        <v>77211.160218674995</v>
      </c>
      <c r="O163" s="18">
        <v>72</v>
      </c>
      <c r="P163" s="15" t="s">
        <v>17</v>
      </c>
    </row>
    <row r="164" spans="2:16" ht="15" customHeight="1" x14ac:dyDescent="0.2">
      <c r="B164" s="13" t="s">
        <v>298</v>
      </c>
      <c r="C164" s="14" t="s">
        <v>16</v>
      </c>
      <c r="D164" s="15" t="s">
        <v>17</v>
      </c>
      <c r="E164" s="15" t="s">
        <v>299</v>
      </c>
      <c r="F164" s="15" t="s">
        <v>300</v>
      </c>
      <c r="G164" s="15" t="s">
        <v>97</v>
      </c>
      <c r="H164" s="16">
        <v>13.8453740685207</v>
      </c>
      <c r="I164" s="16">
        <v>14.0902049924181</v>
      </c>
      <c r="J164" s="17">
        <v>0.30418328031752501</v>
      </c>
      <c r="K164" s="25">
        <v>711423.78008621</v>
      </c>
      <c r="L164" s="17">
        <v>5.8521283778410602</v>
      </c>
      <c r="M164" s="25">
        <v>609632.66526691394</v>
      </c>
      <c r="N164" s="25">
        <v>121263.477631085</v>
      </c>
      <c r="O164" s="12">
        <v>72</v>
      </c>
      <c r="P164" s="9" t="s">
        <v>17</v>
      </c>
    </row>
    <row r="165" spans="2:16" ht="15" customHeight="1" x14ac:dyDescent="0.2">
      <c r="B165" s="13" t="s">
        <v>301</v>
      </c>
      <c r="C165" s="14" t="s">
        <v>16</v>
      </c>
      <c r="D165" s="15" t="s">
        <v>17</v>
      </c>
      <c r="E165" s="15" t="s">
        <v>299</v>
      </c>
      <c r="F165" s="15" t="s">
        <v>300</v>
      </c>
      <c r="G165" s="15" t="s">
        <v>97</v>
      </c>
      <c r="H165" s="16">
        <v>13.994513067851701</v>
      </c>
      <c r="I165" s="16">
        <v>14.0902049924181</v>
      </c>
      <c r="J165" s="17">
        <v>0.30418328031752501</v>
      </c>
      <c r="K165" s="25">
        <v>642006.29612680699</v>
      </c>
      <c r="L165" s="17">
        <v>5.80753928719614</v>
      </c>
      <c r="M165" s="25">
        <v>609632.66526691394</v>
      </c>
      <c r="N165" s="25">
        <v>121263.477631085</v>
      </c>
      <c r="O165" s="18">
        <v>72</v>
      </c>
      <c r="P165" s="15" t="s">
        <v>17</v>
      </c>
    </row>
    <row r="166" spans="2:16" ht="15" customHeight="1" x14ac:dyDescent="0.2">
      <c r="B166" s="13" t="s">
        <v>302</v>
      </c>
      <c r="C166" s="14" t="s">
        <v>16</v>
      </c>
      <c r="D166" s="15" t="s">
        <v>17</v>
      </c>
      <c r="E166" s="15" t="s">
        <v>299</v>
      </c>
      <c r="F166" s="15" t="s">
        <v>300</v>
      </c>
      <c r="G166" s="15" t="s">
        <v>97</v>
      </c>
      <c r="H166" s="16">
        <v>14.430727840881801</v>
      </c>
      <c r="I166" s="16">
        <v>14.0902049924181</v>
      </c>
      <c r="J166" s="17">
        <v>0.30418328031752501</v>
      </c>
      <c r="K166" s="25">
        <v>475467.91958772403</v>
      </c>
      <c r="L166" s="17">
        <v>5.6771212198727303</v>
      </c>
      <c r="M166" s="25">
        <v>609632.66526691394</v>
      </c>
      <c r="N166" s="25">
        <v>121263.477631085</v>
      </c>
      <c r="O166" s="18">
        <v>72</v>
      </c>
      <c r="P166" s="15" t="s">
        <v>17</v>
      </c>
    </row>
    <row r="167" spans="2:16" ht="15" customHeight="1" x14ac:dyDescent="0.2">
      <c r="B167" s="13" t="s">
        <v>303</v>
      </c>
      <c r="C167" s="14" t="s">
        <v>16</v>
      </c>
      <c r="D167" s="15" t="s">
        <v>17</v>
      </c>
      <c r="E167" s="15" t="s">
        <v>304</v>
      </c>
      <c r="F167" s="15" t="s">
        <v>305</v>
      </c>
      <c r="G167" s="15" t="s">
        <v>158</v>
      </c>
      <c r="H167" s="16">
        <v>14.0012716105098</v>
      </c>
      <c r="I167" s="16">
        <v>14.143417028006001</v>
      </c>
      <c r="J167" s="17">
        <v>0.145781541362135</v>
      </c>
      <c r="K167" s="25">
        <v>639026.16417387896</v>
      </c>
      <c r="L167" s="17">
        <v>5.8055186401986401</v>
      </c>
      <c r="M167" s="25">
        <v>581398.352171493</v>
      </c>
      <c r="N167" s="25">
        <v>58064.760164840198</v>
      </c>
      <c r="O167" s="18">
        <v>72</v>
      </c>
      <c r="P167" s="15" t="s">
        <v>17</v>
      </c>
    </row>
    <row r="168" spans="2:16" ht="15" customHeight="1" x14ac:dyDescent="0.2">
      <c r="B168" s="13" t="s">
        <v>306</v>
      </c>
      <c r="C168" s="14" t="s">
        <v>16</v>
      </c>
      <c r="D168" s="15" t="s">
        <v>17</v>
      </c>
      <c r="E168" s="15" t="s">
        <v>304</v>
      </c>
      <c r="F168" s="15" t="s">
        <v>305</v>
      </c>
      <c r="G168" s="15" t="s">
        <v>158</v>
      </c>
      <c r="H168" s="16">
        <v>14.292581144831701</v>
      </c>
      <c r="I168" s="16">
        <v>14.143417028006001</v>
      </c>
      <c r="J168" s="17">
        <v>0.145781541362135</v>
      </c>
      <c r="K168" s="25">
        <v>522906.29198471003</v>
      </c>
      <c r="L168" s="17">
        <v>5.7184238676047601</v>
      </c>
      <c r="M168" s="25">
        <v>581398.352171493</v>
      </c>
      <c r="N168" s="25">
        <v>58064.760164840198</v>
      </c>
      <c r="O168" s="18">
        <v>72</v>
      </c>
      <c r="P168" s="15" t="s">
        <v>17</v>
      </c>
    </row>
    <row r="169" spans="2:16" ht="15" customHeight="1" x14ac:dyDescent="0.2">
      <c r="B169" s="13" t="s">
        <v>307</v>
      </c>
      <c r="C169" s="14" t="s">
        <v>16</v>
      </c>
      <c r="D169" s="15" t="s">
        <v>17</v>
      </c>
      <c r="E169" s="15" t="s">
        <v>304</v>
      </c>
      <c r="F169" s="15" t="s">
        <v>305</v>
      </c>
      <c r="G169" s="15" t="s">
        <v>158</v>
      </c>
      <c r="H169" s="16">
        <v>14.136398328676499</v>
      </c>
      <c r="I169" s="16">
        <v>14.143417028006001</v>
      </c>
      <c r="J169" s="17">
        <v>0.145781541362135</v>
      </c>
      <c r="K169" s="25">
        <v>582262.60035589</v>
      </c>
      <c r="L169" s="17">
        <v>5.76511889558512</v>
      </c>
      <c r="M169" s="25">
        <v>581398.352171493</v>
      </c>
      <c r="N169" s="25">
        <v>58064.760164840198</v>
      </c>
      <c r="O169" s="18">
        <v>72</v>
      </c>
      <c r="P169" s="15" t="s">
        <v>17</v>
      </c>
    </row>
    <row r="170" spans="2:16" ht="15" customHeight="1" x14ac:dyDescent="0.2">
      <c r="B170" s="13" t="s">
        <v>308</v>
      </c>
      <c r="C170" s="14" t="s">
        <v>16</v>
      </c>
      <c r="D170" s="15" t="s">
        <v>17</v>
      </c>
      <c r="E170" s="15" t="s">
        <v>309</v>
      </c>
      <c r="F170" s="15" t="s">
        <v>310</v>
      </c>
      <c r="G170" s="15" t="s">
        <v>108</v>
      </c>
      <c r="H170" s="16">
        <v>17.566210484040099</v>
      </c>
      <c r="I170" s="16">
        <v>17.960974855047802</v>
      </c>
      <c r="J170" s="17">
        <v>0.34489148699252398</v>
      </c>
      <c r="K170" s="25">
        <v>54914.225875669203</v>
      </c>
      <c r="L170" s="17">
        <v>4.7396848657430102</v>
      </c>
      <c r="M170" s="25">
        <v>42669.867475804</v>
      </c>
      <c r="N170" s="25">
        <v>10665.522009941</v>
      </c>
      <c r="O170" s="18">
        <v>72</v>
      </c>
      <c r="P170" s="15" t="s">
        <v>17</v>
      </c>
    </row>
    <row r="171" spans="2:16" ht="15" customHeight="1" x14ac:dyDescent="0.2">
      <c r="B171" s="13" t="s">
        <v>311</v>
      </c>
      <c r="C171" s="14" t="s">
        <v>16</v>
      </c>
      <c r="D171" s="15" t="s">
        <v>17</v>
      </c>
      <c r="E171" s="15" t="s">
        <v>309</v>
      </c>
      <c r="F171" s="15" t="s">
        <v>310</v>
      </c>
      <c r="G171" s="15" t="s">
        <v>108</v>
      </c>
      <c r="H171" s="16">
        <v>18.1128492792676</v>
      </c>
      <c r="I171" s="16">
        <v>17.960974855047802</v>
      </c>
      <c r="J171" s="17">
        <v>0.34489148699252398</v>
      </c>
      <c r="K171" s="25">
        <v>37692.295315982999</v>
      </c>
      <c r="L171" s="17">
        <v>4.5762525851204199</v>
      </c>
      <c r="M171" s="25">
        <v>42669.867475804</v>
      </c>
      <c r="N171" s="25">
        <v>10665.522009941</v>
      </c>
      <c r="O171" s="18">
        <v>72</v>
      </c>
      <c r="P171" s="15" t="s">
        <v>17</v>
      </c>
    </row>
    <row r="172" spans="2:16" ht="15" customHeight="1" x14ac:dyDescent="0.2">
      <c r="B172" s="13" t="s">
        <v>312</v>
      </c>
      <c r="C172" s="14" t="s">
        <v>16</v>
      </c>
      <c r="D172" s="15" t="s">
        <v>17</v>
      </c>
      <c r="E172" s="15" t="s">
        <v>309</v>
      </c>
      <c r="F172" s="15" t="s">
        <v>310</v>
      </c>
      <c r="G172" s="15" t="s">
        <v>108</v>
      </c>
      <c r="H172" s="16">
        <v>18.203864801835699</v>
      </c>
      <c r="I172" s="16">
        <v>17.960974855047802</v>
      </c>
      <c r="J172" s="17">
        <v>0.34489148699252398</v>
      </c>
      <c r="K172" s="25">
        <v>35403.081235759797</v>
      </c>
      <c r="L172" s="17">
        <v>4.54904106161489</v>
      </c>
      <c r="M172" s="25">
        <v>42669.867475804</v>
      </c>
      <c r="N172" s="25">
        <v>10665.522009941</v>
      </c>
      <c r="O172" s="18">
        <v>72</v>
      </c>
      <c r="P172" s="15" t="s">
        <v>17</v>
      </c>
    </row>
    <row r="173" spans="2:16" ht="15" customHeight="1" x14ac:dyDescent="0.2">
      <c r="B173" s="13" t="s">
        <v>313</v>
      </c>
      <c r="C173" s="14" t="s">
        <v>16</v>
      </c>
      <c r="D173" s="15" t="s">
        <v>17</v>
      </c>
      <c r="E173" s="15" t="s">
        <v>314</v>
      </c>
      <c r="F173" s="15" t="s">
        <v>315</v>
      </c>
      <c r="G173" s="15" t="s">
        <v>274</v>
      </c>
      <c r="H173" s="16">
        <v>13.8097158348522</v>
      </c>
      <c r="I173" s="16">
        <v>13.7548505509367</v>
      </c>
      <c r="J173" s="17">
        <v>0.417467356071826</v>
      </c>
      <c r="K173" s="25">
        <v>729103.79711876297</v>
      </c>
      <c r="L173" s="17">
        <v>5.8627893600148404</v>
      </c>
      <c r="M173" s="25">
        <v>778548.399858566</v>
      </c>
      <c r="N173" s="25">
        <v>227386.26503729299</v>
      </c>
      <c r="O173" s="18">
        <v>72</v>
      </c>
      <c r="P173" s="15" t="s">
        <v>17</v>
      </c>
    </row>
    <row r="174" spans="2:16" ht="15" customHeight="1" x14ac:dyDescent="0.2">
      <c r="B174" s="13" t="s">
        <v>316</v>
      </c>
      <c r="C174" s="14" t="s">
        <v>16</v>
      </c>
      <c r="D174" s="15" t="s">
        <v>17</v>
      </c>
      <c r="E174" s="15" t="s">
        <v>314</v>
      </c>
      <c r="F174" s="15" t="s">
        <v>315</v>
      </c>
      <c r="G174" s="15" t="s">
        <v>274</v>
      </c>
      <c r="H174" s="16">
        <v>14.1421724675448</v>
      </c>
      <c r="I174" s="16">
        <v>13.7548505509367</v>
      </c>
      <c r="J174" s="17">
        <v>0.417467356071826</v>
      </c>
      <c r="K174" s="25">
        <v>579952.68365590996</v>
      </c>
      <c r="L174" s="17">
        <v>5.7633925624157101</v>
      </c>
      <c r="M174" s="25">
        <v>778548.399858566</v>
      </c>
      <c r="N174" s="25">
        <v>227386.26503729299</v>
      </c>
      <c r="O174" s="18">
        <v>72</v>
      </c>
      <c r="P174" s="15" t="s">
        <v>17</v>
      </c>
    </row>
    <row r="175" spans="2:16" ht="15" customHeight="1" x14ac:dyDescent="0.2">
      <c r="B175" s="13" t="s">
        <v>317</v>
      </c>
      <c r="C175" s="14" t="s">
        <v>16</v>
      </c>
      <c r="D175" s="15" t="s">
        <v>17</v>
      </c>
      <c r="E175" s="15" t="s">
        <v>314</v>
      </c>
      <c r="F175" s="15" t="s">
        <v>315</v>
      </c>
      <c r="G175" s="15" t="s">
        <v>274</v>
      </c>
      <c r="H175" s="16">
        <v>13.312663350412899</v>
      </c>
      <c r="I175" s="16">
        <v>13.7548505509367</v>
      </c>
      <c r="J175" s="17">
        <v>0.417467356071826</v>
      </c>
      <c r="K175" s="25">
        <v>1026588.71880103</v>
      </c>
      <c r="L175" s="17">
        <v>6.0113964874823296</v>
      </c>
      <c r="M175" s="25">
        <v>778548.399858566</v>
      </c>
      <c r="N175" s="25">
        <v>227386.26503729299</v>
      </c>
      <c r="O175" s="18">
        <v>72</v>
      </c>
      <c r="P175" s="15" t="s">
        <v>17</v>
      </c>
    </row>
    <row r="176" spans="2:16" ht="15" customHeight="1" x14ac:dyDescent="0.2">
      <c r="B176" s="13" t="s">
        <v>318</v>
      </c>
      <c r="C176" s="14" t="s">
        <v>16</v>
      </c>
      <c r="D176" s="15" t="s">
        <v>17</v>
      </c>
      <c r="E176" s="15" t="s">
        <v>319</v>
      </c>
      <c r="F176" s="15" t="s">
        <v>320</v>
      </c>
      <c r="G176" s="15" t="s">
        <v>122</v>
      </c>
      <c r="H176" s="16">
        <v>15.664958164485</v>
      </c>
      <c r="I176" s="16">
        <v>15.961674061079201</v>
      </c>
      <c r="J176" s="17">
        <v>0.26015853753104301</v>
      </c>
      <c r="K176" s="25">
        <v>203289.557759872</v>
      </c>
      <c r="L176" s="17">
        <v>5.3081150710938303</v>
      </c>
      <c r="M176" s="25">
        <v>167562.394546253</v>
      </c>
      <c r="N176" s="25">
        <v>31222.7613884118</v>
      </c>
      <c r="O176" s="18">
        <v>72</v>
      </c>
      <c r="P176" s="15" t="s">
        <v>17</v>
      </c>
    </row>
    <row r="177" spans="2:16" ht="15" customHeight="1" x14ac:dyDescent="0.2">
      <c r="B177" s="13" t="s">
        <v>321</v>
      </c>
      <c r="C177" s="14" t="s">
        <v>16</v>
      </c>
      <c r="D177" s="15" t="s">
        <v>17</v>
      </c>
      <c r="E177" s="15" t="s">
        <v>319</v>
      </c>
      <c r="F177" s="15" t="s">
        <v>320</v>
      </c>
      <c r="G177" s="15" t="s">
        <v>122</v>
      </c>
      <c r="H177" s="16">
        <v>16.0693844733932</v>
      </c>
      <c r="I177" s="16">
        <v>15.961674061079201</v>
      </c>
      <c r="J177" s="17">
        <v>0.26015853753104301</v>
      </c>
      <c r="K177" s="25">
        <v>153886.674595266</v>
      </c>
      <c r="L177" s="17">
        <v>5.1872010148912597</v>
      </c>
      <c r="M177" s="25">
        <v>167562.394546253</v>
      </c>
      <c r="N177" s="25">
        <v>31222.7613884118</v>
      </c>
      <c r="O177" s="18">
        <v>72</v>
      </c>
      <c r="P177" s="15" t="s">
        <v>17</v>
      </c>
    </row>
    <row r="178" spans="2:16" ht="15" customHeight="1" x14ac:dyDescent="0.2">
      <c r="B178" s="13" t="s">
        <v>322</v>
      </c>
      <c r="C178" s="14" t="s">
        <v>16</v>
      </c>
      <c r="D178" s="15" t="s">
        <v>17</v>
      </c>
      <c r="E178" s="15" t="s">
        <v>319</v>
      </c>
      <c r="F178" s="15" t="s">
        <v>320</v>
      </c>
      <c r="G178" s="15" t="s">
        <v>122</v>
      </c>
      <c r="H178" s="16">
        <v>16.150679545359498</v>
      </c>
      <c r="I178" s="16">
        <v>15.961674061079201</v>
      </c>
      <c r="J178" s="17">
        <v>0.26015853753104301</v>
      </c>
      <c r="K178" s="25">
        <v>145510.951283623</v>
      </c>
      <c r="L178" s="17">
        <v>5.1628956799409602</v>
      </c>
      <c r="M178" s="25">
        <v>167562.394546253</v>
      </c>
      <c r="N178" s="25">
        <v>31222.7613884118</v>
      </c>
      <c r="O178" s="18">
        <v>72</v>
      </c>
      <c r="P178" s="15" t="s">
        <v>17</v>
      </c>
    </row>
    <row r="179" spans="2:16" ht="15" customHeight="1" x14ac:dyDescent="0.2">
      <c r="B179" s="13" t="s">
        <v>323</v>
      </c>
      <c r="C179" s="14" t="s">
        <v>16</v>
      </c>
      <c r="D179" s="15" t="s">
        <v>17</v>
      </c>
      <c r="E179" s="15" t="s">
        <v>324</v>
      </c>
      <c r="F179" s="15" t="s">
        <v>325</v>
      </c>
      <c r="G179" s="15" t="s">
        <v>183</v>
      </c>
      <c r="H179" s="16">
        <v>15.653740318991099</v>
      </c>
      <c r="I179" s="16">
        <v>15.181152770182999</v>
      </c>
      <c r="J179" s="17">
        <v>0.69989284544905095</v>
      </c>
      <c r="K179" s="25">
        <v>204865.55561114001</v>
      </c>
      <c r="L179" s="17">
        <v>5.3114689458805202</v>
      </c>
      <c r="M179" s="25">
        <v>307993.90984323598</v>
      </c>
      <c r="N179" s="25">
        <v>160861.35126844299</v>
      </c>
      <c r="O179" s="18">
        <v>72</v>
      </c>
      <c r="P179" s="15" t="s">
        <v>17</v>
      </c>
    </row>
    <row r="180" spans="2:16" ht="15" customHeight="1" x14ac:dyDescent="0.2">
      <c r="B180" s="13" t="s">
        <v>326</v>
      </c>
      <c r="C180" s="14" t="s">
        <v>16</v>
      </c>
      <c r="D180" s="15" t="s">
        <v>17</v>
      </c>
      <c r="E180" s="15" t="s">
        <v>324</v>
      </c>
      <c r="F180" s="15" t="s">
        <v>325</v>
      </c>
      <c r="G180" s="15" t="s">
        <v>183</v>
      </c>
      <c r="H180" s="16">
        <v>14.377103985546199</v>
      </c>
      <c r="I180" s="16">
        <v>15.181152770182999</v>
      </c>
      <c r="J180" s="17">
        <v>0.69989284544905095</v>
      </c>
      <c r="K180" s="25">
        <v>493348.15104082902</v>
      </c>
      <c r="L180" s="17">
        <v>5.6931535049022397</v>
      </c>
      <c r="M180" s="25">
        <v>307993.90984323598</v>
      </c>
      <c r="N180" s="25">
        <v>160861.35126844299</v>
      </c>
      <c r="O180" s="18">
        <v>72</v>
      </c>
      <c r="P180" s="15" t="s">
        <v>17</v>
      </c>
    </row>
    <row r="181" spans="2:16" ht="15" customHeight="1" x14ac:dyDescent="0.2">
      <c r="B181" s="13" t="s">
        <v>327</v>
      </c>
      <c r="C181" s="14" t="s">
        <v>16</v>
      </c>
      <c r="D181" s="15" t="s">
        <v>17</v>
      </c>
      <c r="E181" s="15" t="s">
        <v>324</v>
      </c>
      <c r="F181" s="15" t="s">
        <v>325</v>
      </c>
      <c r="G181" s="15" t="s">
        <v>183</v>
      </c>
      <c r="H181" s="16">
        <v>15.5126140060118</v>
      </c>
      <c r="I181" s="16">
        <v>15.181152770182999</v>
      </c>
      <c r="J181" s="17">
        <v>0.69989284544905095</v>
      </c>
      <c r="K181" s="25">
        <v>225768.022877738</v>
      </c>
      <c r="L181" s="17">
        <v>5.3536624297448796</v>
      </c>
      <c r="M181" s="25">
        <v>307993.90984323598</v>
      </c>
      <c r="N181" s="25">
        <v>160861.35126844299</v>
      </c>
      <c r="O181" s="18">
        <v>72</v>
      </c>
      <c r="P181" s="15" t="s">
        <v>17</v>
      </c>
    </row>
    <row r="182" spans="2:16" ht="15" customHeight="1" x14ac:dyDescent="0.2">
      <c r="B182" s="13" t="s">
        <v>328</v>
      </c>
      <c r="C182" s="14" t="s">
        <v>16</v>
      </c>
      <c r="D182" s="15" t="s">
        <v>17</v>
      </c>
      <c r="E182" s="15" t="s">
        <v>329</v>
      </c>
      <c r="F182" s="15" t="s">
        <v>330</v>
      </c>
      <c r="G182" s="15" t="s">
        <v>133</v>
      </c>
      <c r="H182" s="16">
        <v>22.196119375805299</v>
      </c>
      <c r="I182" s="16">
        <v>22.129609039819101</v>
      </c>
      <c r="J182" s="17">
        <v>0.26135032579097001</v>
      </c>
      <c r="K182" s="25">
        <v>2266.9912062160802</v>
      </c>
      <c r="L182" s="17">
        <v>3.3554498354775402</v>
      </c>
      <c r="M182" s="25">
        <v>2399.4292820057499</v>
      </c>
      <c r="N182" s="25">
        <v>443.41046303660499</v>
      </c>
      <c r="O182" s="18">
        <v>72</v>
      </c>
      <c r="P182" s="15" t="s">
        <v>17</v>
      </c>
    </row>
    <row r="183" spans="2:16" ht="15" customHeight="1" x14ac:dyDescent="0.2">
      <c r="B183" s="13" t="s">
        <v>331</v>
      </c>
      <c r="C183" s="14" t="s">
        <v>16</v>
      </c>
      <c r="D183" s="15" t="s">
        <v>17</v>
      </c>
      <c r="E183" s="15" t="s">
        <v>329</v>
      </c>
      <c r="F183" s="15" t="s">
        <v>330</v>
      </c>
      <c r="G183" s="15" t="s">
        <v>133</v>
      </c>
      <c r="H183" s="16">
        <v>21.841429816083298</v>
      </c>
      <c r="I183" s="16">
        <v>22.129609039819101</v>
      </c>
      <c r="J183" s="17">
        <v>0.26135032579097001</v>
      </c>
      <c r="K183" s="25">
        <v>2893.9682421446701</v>
      </c>
      <c r="L183" s="17">
        <v>3.4614937609443901</v>
      </c>
      <c r="M183" s="25">
        <v>2399.4292820057499</v>
      </c>
      <c r="N183" s="25">
        <v>443.41046303660499</v>
      </c>
      <c r="O183" s="18">
        <v>72</v>
      </c>
      <c r="P183" s="15" t="s">
        <v>17</v>
      </c>
    </row>
    <row r="184" spans="2:16" ht="15" customHeight="1" x14ac:dyDescent="0.2">
      <c r="B184" s="13" t="s">
        <v>332</v>
      </c>
      <c r="C184" s="14" t="s">
        <v>16</v>
      </c>
      <c r="D184" s="15" t="s">
        <v>17</v>
      </c>
      <c r="E184" s="15" t="s">
        <v>329</v>
      </c>
      <c r="F184" s="15" t="s">
        <v>330</v>
      </c>
      <c r="G184" s="15" t="s">
        <v>133</v>
      </c>
      <c r="H184" s="16">
        <v>22.351277927568699</v>
      </c>
      <c r="I184" s="16">
        <v>22.129609039819101</v>
      </c>
      <c r="J184" s="17">
        <v>0.26135032579097001</v>
      </c>
      <c r="K184" s="25">
        <v>2037.3283976564901</v>
      </c>
      <c r="L184" s="17">
        <v>3.3090610387178301</v>
      </c>
      <c r="M184" s="25">
        <v>2399.4292820057499</v>
      </c>
      <c r="N184" s="25">
        <v>443.41046303660499</v>
      </c>
      <c r="O184" s="18">
        <v>72</v>
      </c>
      <c r="P184" s="15" t="s">
        <v>17</v>
      </c>
    </row>
    <row r="185" spans="2:16" ht="15" customHeight="1" x14ac:dyDescent="0.2">
      <c r="B185" s="13" t="s">
        <v>333</v>
      </c>
      <c r="C185" s="14" t="s">
        <v>16</v>
      </c>
      <c r="D185" s="15" t="s">
        <v>17</v>
      </c>
      <c r="E185" s="15" t="s">
        <v>334</v>
      </c>
      <c r="F185" s="15" t="s">
        <v>335</v>
      </c>
      <c r="G185" s="15" t="s">
        <v>295</v>
      </c>
      <c r="H185" s="16">
        <v>14.739038515002701</v>
      </c>
      <c r="I185" s="16">
        <v>15.120344487794</v>
      </c>
      <c r="J185" s="17">
        <v>0.36970619700062501</v>
      </c>
      <c r="K185" s="25">
        <v>384541.7532493</v>
      </c>
      <c r="L185" s="17">
        <v>5.5849435020601899</v>
      </c>
      <c r="M185" s="25">
        <v>302236.09473508998</v>
      </c>
      <c r="N185" s="25">
        <v>77238.133797633098</v>
      </c>
      <c r="O185" s="18">
        <v>72</v>
      </c>
      <c r="P185" s="15" t="s">
        <v>17</v>
      </c>
    </row>
    <row r="186" spans="2:16" ht="15" customHeight="1" x14ac:dyDescent="0.2">
      <c r="B186" s="13" t="s">
        <v>336</v>
      </c>
      <c r="C186" s="14" t="s">
        <v>16</v>
      </c>
      <c r="D186" s="15" t="s">
        <v>17</v>
      </c>
      <c r="E186" s="15" t="s">
        <v>334</v>
      </c>
      <c r="F186" s="15" t="s">
        <v>335</v>
      </c>
      <c r="G186" s="15" t="s">
        <v>295</v>
      </c>
      <c r="H186" s="16">
        <v>15.4772412362859</v>
      </c>
      <c r="I186" s="16">
        <v>15.120344487794</v>
      </c>
      <c r="J186" s="17">
        <v>0.36970619700062501</v>
      </c>
      <c r="K186" s="25">
        <v>231333.25295785701</v>
      </c>
      <c r="L186" s="17">
        <v>5.3642380648419703</v>
      </c>
      <c r="M186" s="25">
        <v>302236.09473508998</v>
      </c>
      <c r="N186" s="25">
        <v>77238.133797633098</v>
      </c>
      <c r="O186" s="18">
        <v>72</v>
      </c>
      <c r="P186" s="15" t="s">
        <v>17</v>
      </c>
    </row>
    <row r="187" spans="2:16" ht="15" customHeight="1" x14ac:dyDescent="0.2">
      <c r="B187" s="13" t="s">
        <v>337</v>
      </c>
      <c r="C187" s="14" t="s">
        <v>16</v>
      </c>
      <c r="D187" s="15" t="s">
        <v>17</v>
      </c>
      <c r="E187" s="15" t="s">
        <v>334</v>
      </c>
      <c r="F187" s="15" t="s">
        <v>335</v>
      </c>
      <c r="G187" s="15" t="s">
        <v>295</v>
      </c>
      <c r="H187" s="16">
        <v>15.144753712093401</v>
      </c>
      <c r="I187" s="16">
        <v>15.120344487794</v>
      </c>
      <c r="J187" s="17">
        <v>0.36970619700062501</v>
      </c>
      <c r="K187" s="25">
        <v>290833.277998114</v>
      </c>
      <c r="L187" s="17">
        <v>5.4636440982807803</v>
      </c>
      <c r="M187" s="25">
        <v>302236.09473508998</v>
      </c>
      <c r="N187" s="25">
        <v>77238.133797633098</v>
      </c>
      <c r="O187" s="18">
        <v>72</v>
      </c>
      <c r="P187" s="15" t="s">
        <v>17</v>
      </c>
    </row>
    <row r="188" spans="2:16" ht="15" customHeight="1" x14ac:dyDescent="0.2">
      <c r="B188" s="13" t="s">
        <v>338</v>
      </c>
      <c r="C188" s="14" t="s">
        <v>16</v>
      </c>
      <c r="D188" s="15" t="s">
        <v>17</v>
      </c>
      <c r="E188" s="15" t="s">
        <v>339</v>
      </c>
      <c r="F188" s="15" t="s">
        <v>340</v>
      </c>
      <c r="G188" s="15" t="s">
        <v>147</v>
      </c>
      <c r="H188" s="16">
        <v>17.339634286267</v>
      </c>
      <c r="I188" s="16">
        <v>17.0432628736474</v>
      </c>
      <c r="J188" s="17">
        <v>0.256686889490577</v>
      </c>
      <c r="K188" s="25">
        <v>64183.866653677098</v>
      </c>
      <c r="L188" s="17">
        <v>4.8074258769192202</v>
      </c>
      <c r="M188" s="25">
        <v>79504.237450513596</v>
      </c>
      <c r="N188" s="25">
        <v>13269.342987874301</v>
      </c>
      <c r="O188" s="18">
        <v>72</v>
      </c>
      <c r="P188" s="15" t="s">
        <v>17</v>
      </c>
    </row>
    <row r="189" spans="2:16" ht="15" customHeight="1" x14ac:dyDescent="0.2">
      <c r="B189" s="13" t="s">
        <v>341</v>
      </c>
      <c r="C189" s="14" t="s">
        <v>16</v>
      </c>
      <c r="D189" s="15" t="s">
        <v>17</v>
      </c>
      <c r="E189" s="15" t="s">
        <v>339</v>
      </c>
      <c r="F189" s="15" t="s">
        <v>340</v>
      </c>
      <c r="G189" s="15" t="s">
        <v>147</v>
      </c>
      <c r="H189" s="16">
        <v>16.898416115190098</v>
      </c>
      <c r="I189" s="16">
        <v>17.0432628736474</v>
      </c>
      <c r="J189" s="17">
        <v>0.256686889490577</v>
      </c>
      <c r="K189" s="25">
        <v>86964.067376265593</v>
      </c>
      <c r="L189" s="17">
        <v>4.9393398438399503</v>
      </c>
      <c r="M189" s="25">
        <v>79504.237450513596</v>
      </c>
      <c r="N189" s="25">
        <v>13269.342987874301</v>
      </c>
      <c r="O189" s="18">
        <v>72</v>
      </c>
      <c r="P189" s="15" t="s">
        <v>17</v>
      </c>
    </row>
    <row r="190" spans="2:16" ht="15" customHeight="1" x14ac:dyDescent="0.2">
      <c r="B190" s="13" t="s">
        <v>342</v>
      </c>
      <c r="C190" s="14" t="s">
        <v>16</v>
      </c>
      <c r="D190" s="15" t="s">
        <v>17</v>
      </c>
      <c r="E190" s="15" t="s">
        <v>339</v>
      </c>
      <c r="F190" s="15" t="s">
        <v>340</v>
      </c>
      <c r="G190" s="15" t="s">
        <v>147</v>
      </c>
      <c r="H190" s="16">
        <v>16.891738219485202</v>
      </c>
      <c r="I190" s="16">
        <v>17.0432628736474</v>
      </c>
      <c r="J190" s="17">
        <v>0.256686889490577</v>
      </c>
      <c r="K190" s="25">
        <v>87364.778321598307</v>
      </c>
      <c r="L190" s="17">
        <v>4.9413363792749401</v>
      </c>
      <c r="M190" s="25">
        <v>79504.237450513596</v>
      </c>
      <c r="N190" s="25">
        <v>13269.342987874301</v>
      </c>
      <c r="O190" s="18">
        <v>72</v>
      </c>
      <c r="P190" s="15" t="s">
        <v>17</v>
      </c>
    </row>
    <row r="191" spans="2:16" ht="15" customHeight="1" x14ac:dyDescent="0.2">
      <c r="B191" s="13" t="s">
        <v>343</v>
      </c>
      <c r="C191" s="14" t="s">
        <v>16</v>
      </c>
      <c r="D191" s="15" t="s">
        <v>17</v>
      </c>
      <c r="E191" s="15" t="s">
        <v>344</v>
      </c>
      <c r="F191" s="15" t="s">
        <v>345</v>
      </c>
      <c r="G191" s="15" t="s">
        <v>38</v>
      </c>
      <c r="H191" s="16">
        <v>16.4046345513738</v>
      </c>
      <c r="I191" s="16">
        <v>16.401637341274999</v>
      </c>
      <c r="J191" s="17">
        <v>1.3127500858501799E-2</v>
      </c>
      <c r="K191" s="25">
        <v>122171.256961758</v>
      </c>
      <c r="L191" s="17">
        <v>5.0869690421487004</v>
      </c>
      <c r="M191" s="25">
        <v>122426.933856909</v>
      </c>
      <c r="N191" s="25">
        <v>1108.01020994693</v>
      </c>
      <c r="O191" s="18">
        <v>72</v>
      </c>
      <c r="P191" s="15" t="s">
        <v>17</v>
      </c>
    </row>
    <row r="192" spans="2:16" ht="15" customHeight="1" x14ac:dyDescent="0.2">
      <c r="B192" s="13" t="s">
        <v>346</v>
      </c>
      <c r="C192" s="14" t="s">
        <v>16</v>
      </c>
      <c r="D192" s="15" t="s">
        <v>17</v>
      </c>
      <c r="E192" s="15" t="s">
        <v>344</v>
      </c>
      <c r="F192" s="15" t="s">
        <v>345</v>
      </c>
      <c r="G192" s="15" t="s">
        <v>38</v>
      </c>
      <c r="H192" s="16">
        <v>16.387270409702399</v>
      </c>
      <c r="I192" s="16">
        <v>16.401637341274999</v>
      </c>
      <c r="J192" s="17">
        <v>1.3127500858501799E-2</v>
      </c>
      <c r="K192" s="25">
        <v>123640.432757533</v>
      </c>
      <c r="L192" s="17">
        <v>5.0921605164808801</v>
      </c>
      <c r="M192" s="25">
        <v>122426.933856909</v>
      </c>
      <c r="N192" s="25">
        <v>1108.01020994693</v>
      </c>
      <c r="O192" s="18">
        <v>72</v>
      </c>
      <c r="P192" s="15" t="s">
        <v>17</v>
      </c>
    </row>
    <row r="193" spans="2:16" ht="15" customHeight="1" x14ac:dyDescent="0.2">
      <c r="B193" s="13" t="s">
        <v>347</v>
      </c>
      <c r="C193" s="14" t="s">
        <v>16</v>
      </c>
      <c r="D193" s="15" t="s">
        <v>17</v>
      </c>
      <c r="E193" s="15" t="s">
        <v>344</v>
      </c>
      <c r="F193" s="15" t="s">
        <v>345</v>
      </c>
      <c r="G193" s="15" t="s">
        <v>38</v>
      </c>
      <c r="H193" s="16">
        <v>16.4130070627489</v>
      </c>
      <c r="I193" s="16">
        <v>16.401637341274999</v>
      </c>
      <c r="J193" s="17">
        <v>1.3127500858501799E-2</v>
      </c>
      <c r="K193" s="25">
        <v>121469.11185143801</v>
      </c>
      <c r="L193" s="17">
        <v>5.0844658560585101</v>
      </c>
      <c r="M193" s="25">
        <v>122426.933856909</v>
      </c>
      <c r="N193" s="25">
        <v>1108.01020994693</v>
      </c>
      <c r="O193" s="18">
        <v>72</v>
      </c>
      <c r="P193" s="15" t="s">
        <v>17</v>
      </c>
    </row>
    <row r="194" spans="2:16" ht="15" customHeight="1" x14ac:dyDescent="0.2">
      <c r="B194" s="13" t="s">
        <v>348</v>
      </c>
      <c r="C194" s="14" t="s">
        <v>16</v>
      </c>
      <c r="D194" s="15" t="s">
        <v>17</v>
      </c>
      <c r="E194" s="15" t="s">
        <v>349</v>
      </c>
      <c r="F194" s="15" t="s">
        <v>350</v>
      </c>
      <c r="G194" s="15" t="s">
        <v>158</v>
      </c>
      <c r="H194" s="16">
        <v>14.848958466774601</v>
      </c>
      <c r="I194" s="16">
        <v>14.1392748686731</v>
      </c>
      <c r="J194" s="17">
        <v>0.66189133317465398</v>
      </c>
      <c r="K194" s="25">
        <v>356516.79534755199</v>
      </c>
      <c r="L194" s="17">
        <v>5.5520799940895698</v>
      </c>
      <c r="M194" s="25">
        <v>620533.69090019097</v>
      </c>
      <c r="N194" s="25">
        <v>261103.96433077799</v>
      </c>
      <c r="O194" s="18">
        <v>72</v>
      </c>
      <c r="P194" s="15" t="s">
        <v>17</v>
      </c>
    </row>
    <row r="195" spans="2:16" ht="15" customHeight="1" x14ac:dyDescent="0.2">
      <c r="B195" s="13" t="s">
        <v>351</v>
      </c>
      <c r="C195" s="14" t="s">
        <v>16</v>
      </c>
      <c r="D195" s="15" t="s">
        <v>17</v>
      </c>
      <c r="E195" s="15" t="s">
        <v>349</v>
      </c>
      <c r="F195" s="15" t="s">
        <v>350</v>
      </c>
      <c r="G195" s="15" t="s">
        <v>158</v>
      </c>
      <c r="H195" s="16">
        <v>13.538746216349701</v>
      </c>
      <c r="I195" s="16">
        <v>14.1392748686731</v>
      </c>
      <c r="J195" s="17">
        <v>0.66189133317465398</v>
      </c>
      <c r="K195" s="25">
        <v>878623.81591911602</v>
      </c>
      <c r="L195" s="17">
        <v>5.9438029710463898</v>
      </c>
      <c r="M195" s="25">
        <v>620533.69090019097</v>
      </c>
      <c r="N195" s="25">
        <v>261103.96433077799</v>
      </c>
      <c r="O195" s="18">
        <v>72</v>
      </c>
      <c r="P195" s="15" t="s">
        <v>17</v>
      </c>
    </row>
    <row r="196" spans="2:16" ht="15" customHeight="1" x14ac:dyDescent="0.2">
      <c r="B196" s="13" t="s">
        <v>352</v>
      </c>
      <c r="C196" s="14" t="s">
        <v>16</v>
      </c>
      <c r="D196" s="15" t="s">
        <v>17</v>
      </c>
      <c r="E196" s="15" t="s">
        <v>349</v>
      </c>
      <c r="F196" s="15" t="s">
        <v>350</v>
      </c>
      <c r="G196" s="15" t="s">
        <v>158</v>
      </c>
      <c r="H196" s="16">
        <v>14.030119922895199</v>
      </c>
      <c r="I196" s="16">
        <v>14.1392748686731</v>
      </c>
      <c r="J196" s="17">
        <v>0.66189133317465398</v>
      </c>
      <c r="K196" s="25">
        <v>626460.46143390401</v>
      </c>
      <c r="L196" s="17">
        <v>5.7968936660357597</v>
      </c>
      <c r="M196" s="25">
        <v>620533.69090019097</v>
      </c>
      <c r="N196" s="25">
        <v>261103.96433077799</v>
      </c>
      <c r="O196" s="18">
        <v>72</v>
      </c>
      <c r="P196" s="15" t="s">
        <v>17</v>
      </c>
    </row>
    <row r="197" spans="2:16" ht="15" customHeight="1" x14ac:dyDescent="0.2">
      <c r="B197" s="13" t="s">
        <v>353</v>
      </c>
      <c r="C197" s="14" t="s">
        <v>16</v>
      </c>
      <c r="D197" s="15" t="s">
        <v>17</v>
      </c>
      <c r="E197" s="15" t="s">
        <v>354</v>
      </c>
      <c r="F197" s="15" t="s">
        <v>355</v>
      </c>
      <c r="G197" s="15" t="s">
        <v>355</v>
      </c>
      <c r="H197" s="16">
        <v>32.095755250518003</v>
      </c>
      <c r="I197" s="16">
        <v>31.692571803625501</v>
      </c>
      <c r="J197" s="17">
        <v>0.99250408066752405</v>
      </c>
      <c r="K197" s="25">
        <v>2.4870759787588499</v>
      </c>
      <c r="L197" s="17">
        <v>0.39568905292240197</v>
      </c>
      <c r="M197" s="25">
        <v>3.8753112896832498</v>
      </c>
      <c r="N197" s="25">
        <v>2.8463327961667799</v>
      </c>
      <c r="O197" s="18">
        <v>72</v>
      </c>
      <c r="P197" s="15" t="s">
        <v>17</v>
      </c>
    </row>
    <row r="198" spans="2:16" ht="15" customHeight="1" x14ac:dyDescent="0.2">
      <c r="B198" s="13" t="s">
        <v>356</v>
      </c>
      <c r="C198" s="14" t="s">
        <v>16</v>
      </c>
      <c r="D198" s="15" t="s">
        <v>17</v>
      </c>
      <c r="E198" s="15" t="s">
        <v>354</v>
      </c>
      <c r="F198" s="15" t="s">
        <v>355</v>
      </c>
      <c r="G198" s="15" t="s">
        <v>355</v>
      </c>
      <c r="H198" s="16">
        <v>32.420036957477699</v>
      </c>
      <c r="I198" s="16">
        <v>31.692571803625501</v>
      </c>
      <c r="J198" s="17">
        <v>0.99250408066752405</v>
      </c>
      <c r="K198" s="25">
        <v>1.98946529662992</v>
      </c>
      <c r="L198" s="17">
        <v>0.29873636790383001</v>
      </c>
      <c r="M198" s="25">
        <v>3.8753112896832498</v>
      </c>
      <c r="N198" s="25">
        <v>2.8463327961667799</v>
      </c>
      <c r="O198" s="18">
        <v>72</v>
      </c>
      <c r="P198" s="15" t="s">
        <v>17</v>
      </c>
    </row>
    <row r="199" spans="2:16" ht="15" customHeight="1" x14ac:dyDescent="0.2">
      <c r="B199" s="13" t="s">
        <v>357</v>
      </c>
      <c r="C199" s="14" t="s">
        <v>16</v>
      </c>
      <c r="D199" s="15" t="s">
        <v>17</v>
      </c>
      <c r="E199" s="15" t="s">
        <v>354</v>
      </c>
      <c r="F199" s="15" t="s">
        <v>355</v>
      </c>
      <c r="G199" s="15" t="s">
        <v>355</v>
      </c>
      <c r="H199" s="16">
        <v>30.561923202880799</v>
      </c>
      <c r="I199" s="16">
        <v>31.692571803625501</v>
      </c>
      <c r="J199" s="17">
        <v>0.99250408066752405</v>
      </c>
      <c r="K199" s="25">
        <v>7.1493925936609797</v>
      </c>
      <c r="L199" s="17">
        <v>0.85426914607704996</v>
      </c>
      <c r="M199" s="25">
        <v>3.8753112896832498</v>
      </c>
      <c r="N199" s="25">
        <v>2.8463327961667799</v>
      </c>
      <c r="O199" s="18">
        <v>72</v>
      </c>
      <c r="P199" s="15" t="s">
        <v>17</v>
      </c>
    </row>
    <row r="200" spans="2:16" ht="15" customHeight="1" x14ac:dyDescent="0.2">
      <c r="B200" s="13" t="s">
        <v>358</v>
      </c>
      <c r="C200" s="14" t="s">
        <v>16</v>
      </c>
      <c r="D200" s="15" t="s">
        <v>17</v>
      </c>
      <c r="E200" s="15" t="s">
        <v>359</v>
      </c>
      <c r="F200" s="15" t="s">
        <v>360</v>
      </c>
      <c r="G200" s="15" t="s">
        <v>172</v>
      </c>
      <c r="H200" s="16">
        <v>18.1440761882922</v>
      </c>
      <c r="I200" s="16">
        <v>18.0221972699707</v>
      </c>
      <c r="J200" s="17">
        <v>0.42221150620680398</v>
      </c>
      <c r="K200" s="25">
        <v>36890.663463644501</v>
      </c>
      <c r="L200" s="17">
        <v>4.5669164659074397</v>
      </c>
      <c r="M200" s="25">
        <v>41301.022346156198</v>
      </c>
      <c r="N200" s="25">
        <v>12527.0756504206</v>
      </c>
      <c r="O200" s="18">
        <v>72</v>
      </c>
      <c r="P200" s="15" t="s">
        <v>17</v>
      </c>
    </row>
    <row r="201" spans="2:16" ht="15" customHeight="1" x14ac:dyDescent="0.2">
      <c r="B201" s="13" t="s">
        <v>361</v>
      </c>
      <c r="C201" s="14" t="s">
        <v>16</v>
      </c>
      <c r="D201" s="15" t="s">
        <v>17</v>
      </c>
      <c r="E201" s="15" t="s">
        <v>359</v>
      </c>
      <c r="F201" s="15" t="s">
        <v>360</v>
      </c>
      <c r="G201" s="15" t="s">
        <v>172</v>
      </c>
      <c r="H201" s="16">
        <v>17.5524525968939</v>
      </c>
      <c r="I201" s="16">
        <v>18.0221972699707</v>
      </c>
      <c r="J201" s="17">
        <v>0.42221150620680398</v>
      </c>
      <c r="K201" s="25">
        <v>55436.800064403396</v>
      </c>
      <c r="L201" s="17">
        <v>4.74379815388225</v>
      </c>
      <c r="M201" s="25">
        <v>41301.022346156198</v>
      </c>
      <c r="N201" s="25">
        <v>12527.0756504206</v>
      </c>
      <c r="O201" s="18">
        <v>72</v>
      </c>
      <c r="P201" s="15" t="s">
        <v>17</v>
      </c>
    </row>
    <row r="202" spans="2:16" ht="15" customHeight="1" x14ac:dyDescent="0.2">
      <c r="B202" s="13" t="s">
        <v>362</v>
      </c>
      <c r="C202" s="14" t="s">
        <v>16</v>
      </c>
      <c r="D202" s="15" t="s">
        <v>17</v>
      </c>
      <c r="E202" s="15" t="s">
        <v>359</v>
      </c>
      <c r="F202" s="15" t="s">
        <v>360</v>
      </c>
      <c r="G202" s="15" t="s">
        <v>172</v>
      </c>
      <c r="H202" s="16">
        <v>18.3700630247261</v>
      </c>
      <c r="I202" s="16">
        <v>18.0221972699707</v>
      </c>
      <c r="J202" s="17">
        <v>0.42221150620680398</v>
      </c>
      <c r="K202" s="25">
        <v>31575.6035104207</v>
      </c>
      <c r="L202" s="17">
        <v>4.49935166005843</v>
      </c>
      <c r="M202" s="25">
        <v>41301.022346156198</v>
      </c>
      <c r="N202" s="25">
        <v>12527.0756504206</v>
      </c>
      <c r="O202" s="18">
        <v>72</v>
      </c>
      <c r="P202" s="15" t="s">
        <v>17</v>
      </c>
    </row>
    <row r="203" spans="2:16" ht="15" customHeight="1" x14ac:dyDescent="0.2">
      <c r="B203" s="13" t="s">
        <v>363</v>
      </c>
      <c r="C203" s="14" t="s">
        <v>16</v>
      </c>
      <c r="D203" s="15" t="s">
        <v>17</v>
      </c>
      <c r="E203" s="15" t="s">
        <v>364</v>
      </c>
      <c r="F203" s="15" t="s">
        <v>365</v>
      </c>
      <c r="G203" s="15" t="s">
        <v>62</v>
      </c>
      <c r="H203" s="16">
        <v>17.7142191363174</v>
      </c>
      <c r="I203" s="16">
        <v>17.6902517280475</v>
      </c>
      <c r="J203" s="17">
        <v>6.3819985734849496E-2</v>
      </c>
      <c r="K203" s="25">
        <v>49594.523570032798</v>
      </c>
      <c r="L203" s="17">
        <v>4.6954337225662899</v>
      </c>
      <c r="M203" s="25">
        <v>50452.279197977397</v>
      </c>
      <c r="N203" s="25">
        <v>2239.4985715941398</v>
      </c>
      <c r="O203" s="18">
        <v>72</v>
      </c>
      <c r="P203" s="15" t="s">
        <v>17</v>
      </c>
    </row>
    <row r="204" spans="2:16" ht="15" customHeight="1" x14ac:dyDescent="0.2">
      <c r="B204" s="13" t="s">
        <v>366</v>
      </c>
      <c r="C204" s="14" t="s">
        <v>16</v>
      </c>
      <c r="D204" s="15" t="s">
        <v>17</v>
      </c>
      <c r="E204" s="15" t="s">
        <v>364</v>
      </c>
      <c r="F204" s="15" t="s">
        <v>365</v>
      </c>
      <c r="G204" s="15" t="s">
        <v>62</v>
      </c>
      <c r="H204" s="16">
        <v>17.617917687668101</v>
      </c>
      <c r="I204" s="16">
        <v>17.6902517280475</v>
      </c>
      <c r="J204" s="17">
        <v>6.3819985734849496E-2</v>
      </c>
      <c r="K204" s="25">
        <v>52993.867430871098</v>
      </c>
      <c r="L204" s="17">
        <v>4.7242256149775699</v>
      </c>
      <c r="M204" s="25">
        <v>50452.279197977397</v>
      </c>
      <c r="N204" s="25">
        <v>2239.4985715941398</v>
      </c>
      <c r="O204" s="18">
        <v>72</v>
      </c>
      <c r="P204" s="15" t="s">
        <v>17</v>
      </c>
    </row>
    <row r="205" spans="2:16" ht="15" customHeight="1" x14ac:dyDescent="0.2">
      <c r="B205" s="13" t="s">
        <v>367</v>
      </c>
      <c r="C205" s="14" t="s">
        <v>16</v>
      </c>
      <c r="D205" s="15" t="s">
        <v>17</v>
      </c>
      <c r="E205" s="15" t="s">
        <v>364</v>
      </c>
      <c r="F205" s="15" t="s">
        <v>365</v>
      </c>
      <c r="G205" s="15" t="s">
        <v>62</v>
      </c>
      <c r="H205" s="16">
        <v>17.738618360156899</v>
      </c>
      <c r="I205" s="16">
        <v>17.6902517280475</v>
      </c>
      <c r="J205" s="17">
        <v>6.3819985734849496E-2</v>
      </c>
      <c r="K205" s="25">
        <v>48768.446593028202</v>
      </c>
      <c r="L205" s="17">
        <v>4.6881389223576004</v>
      </c>
      <c r="M205" s="25">
        <v>50452.279197977397</v>
      </c>
      <c r="N205" s="25">
        <v>2239.4985715941398</v>
      </c>
      <c r="O205" s="18">
        <v>72</v>
      </c>
      <c r="P205" s="15" t="s">
        <v>17</v>
      </c>
    </row>
    <row r="206" spans="2:16" ht="15" customHeight="1" x14ac:dyDescent="0.2">
      <c r="B206" s="13" t="s">
        <v>368</v>
      </c>
      <c r="C206" s="14" t="s">
        <v>16</v>
      </c>
      <c r="D206" s="15" t="s">
        <v>17</v>
      </c>
      <c r="E206" s="15" t="s">
        <v>369</v>
      </c>
      <c r="F206" s="15" t="s">
        <v>370</v>
      </c>
      <c r="G206" s="15" t="s">
        <v>183</v>
      </c>
      <c r="H206" s="16">
        <v>15.9105029300566</v>
      </c>
      <c r="I206" s="16">
        <v>15.8828923783152</v>
      </c>
      <c r="J206" s="17">
        <v>8.4291339753318706E-2</v>
      </c>
      <c r="K206" s="25">
        <v>171673.35693463101</v>
      </c>
      <c r="L206" s="17">
        <v>5.2347028995050797</v>
      </c>
      <c r="M206" s="25">
        <v>175165.77831016699</v>
      </c>
      <c r="N206" s="25">
        <v>10288.5499403053</v>
      </c>
      <c r="O206" s="18">
        <v>72</v>
      </c>
      <c r="P206" s="15" t="s">
        <v>17</v>
      </c>
    </row>
    <row r="207" spans="2:16" ht="15" customHeight="1" x14ac:dyDescent="0.2">
      <c r="B207" s="13" t="s">
        <v>371</v>
      </c>
      <c r="C207" s="14" t="s">
        <v>16</v>
      </c>
      <c r="D207" s="15" t="s">
        <v>17</v>
      </c>
      <c r="E207" s="15" t="s">
        <v>369</v>
      </c>
      <c r="F207" s="15" t="s">
        <v>370</v>
      </c>
      <c r="G207" s="15" t="s">
        <v>183</v>
      </c>
      <c r="H207" s="16">
        <v>15.9499157671112</v>
      </c>
      <c r="I207" s="16">
        <v>15.8828923783152</v>
      </c>
      <c r="J207" s="17">
        <v>8.4291339753318706E-2</v>
      </c>
      <c r="K207" s="25">
        <v>167078.04245669601</v>
      </c>
      <c r="L207" s="17">
        <v>5.2229193782806904</v>
      </c>
      <c r="M207" s="25">
        <v>175165.77831016699</v>
      </c>
      <c r="N207" s="25">
        <v>10288.5499403053</v>
      </c>
      <c r="O207" s="18">
        <v>72</v>
      </c>
      <c r="P207" s="15" t="s">
        <v>17</v>
      </c>
    </row>
    <row r="208" spans="2:16" ht="15" customHeight="1" x14ac:dyDescent="0.2">
      <c r="B208" s="13" t="s">
        <v>372</v>
      </c>
      <c r="C208" s="14" t="s">
        <v>16</v>
      </c>
      <c r="D208" s="15" t="s">
        <v>17</v>
      </c>
      <c r="E208" s="15" t="s">
        <v>369</v>
      </c>
      <c r="F208" s="15" t="s">
        <v>370</v>
      </c>
      <c r="G208" s="15" t="s">
        <v>183</v>
      </c>
      <c r="H208" s="16">
        <v>15.788258437777699</v>
      </c>
      <c r="I208" s="16">
        <v>15.8828923783152</v>
      </c>
      <c r="J208" s="17">
        <v>8.4291339753318706E-2</v>
      </c>
      <c r="K208" s="25">
        <v>186745.93553917299</v>
      </c>
      <c r="L208" s="17">
        <v>5.2712511583208101</v>
      </c>
      <c r="M208" s="25">
        <v>175165.77831016699</v>
      </c>
      <c r="N208" s="25">
        <v>10288.5499403053</v>
      </c>
      <c r="O208" s="18">
        <v>72</v>
      </c>
      <c r="P208" s="15" t="s">
        <v>17</v>
      </c>
    </row>
    <row r="209" spans="2:16" ht="15" customHeight="1" x14ac:dyDescent="0.2">
      <c r="B209" s="13" t="s">
        <v>373</v>
      </c>
      <c r="C209" s="14" t="s">
        <v>16</v>
      </c>
      <c r="D209" s="15" t="s">
        <v>17</v>
      </c>
      <c r="E209" s="15" t="s">
        <v>374</v>
      </c>
      <c r="F209" s="15" t="s">
        <v>375</v>
      </c>
      <c r="G209" s="15" t="s">
        <v>375</v>
      </c>
      <c r="H209" s="16">
        <v>36.057100828038301</v>
      </c>
      <c r="I209" s="16">
        <v>33.945813463095803</v>
      </c>
      <c r="J209" s="17">
        <v>1.8303058458461201</v>
      </c>
      <c r="K209" s="25">
        <v>0.162681773218952</v>
      </c>
      <c r="L209" s="17">
        <v>-0.788661102464838</v>
      </c>
      <c r="M209" s="25">
        <v>1.01538090201941</v>
      </c>
      <c r="N209" s="25">
        <v>0.74301648354070504</v>
      </c>
      <c r="O209" s="18">
        <v>72</v>
      </c>
      <c r="P209" s="15" t="s">
        <v>17</v>
      </c>
    </row>
    <row r="210" spans="2:16" ht="15" customHeight="1" x14ac:dyDescent="0.2">
      <c r="B210" s="13" t="s">
        <v>376</v>
      </c>
      <c r="C210" s="14" t="s">
        <v>16</v>
      </c>
      <c r="D210" s="15" t="s">
        <v>17</v>
      </c>
      <c r="E210" s="15" t="s">
        <v>374</v>
      </c>
      <c r="F210" s="15" t="s">
        <v>375</v>
      </c>
      <c r="G210" s="15" t="s">
        <v>375</v>
      </c>
      <c r="H210" s="16">
        <v>32.9730476203287</v>
      </c>
      <c r="I210" s="16">
        <v>33.945813463095803</v>
      </c>
      <c r="J210" s="17">
        <v>1.8303058458461201</v>
      </c>
      <c r="K210" s="25">
        <v>1.3595620928176599</v>
      </c>
      <c r="L210" s="17">
        <v>0.13339904712195</v>
      </c>
      <c r="M210" s="25">
        <v>1.01538090201941</v>
      </c>
      <c r="N210" s="25">
        <v>0.74301648354070504</v>
      </c>
      <c r="O210" s="18">
        <v>72</v>
      </c>
      <c r="P210" s="15" t="s">
        <v>17</v>
      </c>
    </row>
    <row r="211" spans="2:16" ht="15" customHeight="1" x14ac:dyDescent="0.2">
      <c r="B211" s="13" t="s">
        <v>377</v>
      </c>
      <c r="C211" s="14" t="s">
        <v>16</v>
      </c>
      <c r="D211" s="15" t="s">
        <v>17</v>
      </c>
      <c r="E211" s="15" t="s">
        <v>374</v>
      </c>
      <c r="F211" s="15" t="s">
        <v>375</v>
      </c>
      <c r="G211" s="15" t="s">
        <v>375</v>
      </c>
      <c r="H211" s="16">
        <v>32.8072919409204</v>
      </c>
      <c r="I211" s="16">
        <v>33.945813463095803</v>
      </c>
      <c r="J211" s="17">
        <v>1.8303058458461201</v>
      </c>
      <c r="K211" s="25">
        <v>1.52389884002163</v>
      </c>
      <c r="L211" s="17">
        <v>0.182956138474344</v>
      </c>
      <c r="M211" s="25">
        <v>1.01538090201941</v>
      </c>
      <c r="N211" s="25">
        <v>0.74301648354070504</v>
      </c>
      <c r="O211" s="18">
        <v>72</v>
      </c>
      <c r="P211" s="15" t="s">
        <v>17</v>
      </c>
    </row>
    <row r="212" spans="2:16" ht="15" customHeight="1" x14ac:dyDescent="0.2">
      <c r="M212" s="25">
        <f>AVERAGE(K209:K211)</f>
        <v>1.015380902019414</v>
      </c>
    </row>
  </sheetData>
  <sortState xmlns:xlrd2="http://schemas.microsoft.com/office/spreadsheetml/2017/richdata2" ref="B2:P212">
    <sortCondition ref="B1:B212"/>
  </sortState>
  <printOptions headings="1" gridLines="1"/>
  <pageMargins left="0" right="0" top="0" bottom="0" header="0" footer="0"/>
  <pageSetup pageOrder="overThenDown" orientation="portrait" blackAndWhite="1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ColWidth="10" defaultRowHeight="15" customHeight="1" x14ac:dyDescent="0.2"/>
  <cols>
    <col min="1" max="1" width="23.125" style="19" customWidth="1"/>
    <col min="2" max="2" width="29.375" style="19" customWidth="1"/>
    <col min="3" max="3" width="10" style="19" customWidth="1"/>
    <col min="4" max="16384" width="10" style="19"/>
  </cols>
  <sheetData>
    <row r="1" spans="1:2" ht="15" customHeight="1" x14ac:dyDescent="0.2">
      <c r="A1" s="19" t="s">
        <v>378</v>
      </c>
      <c r="B1" s="19" t="s">
        <v>379</v>
      </c>
    </row>
    <row r="2" spans="1:2" ht="15" customHeight="1" x14ac:dyDescent="0.2">
      <c r="A2" s="19" t="s">
        <v>380</v>
      </c>
      <c r="B2" s="19" t="s">
        <v>381</v>
      </c>
    </row>
    <row r="3" spans="1:2" ht="15" customHeight="1" x14ac:dyDescent="0.2">
      <c r="A3" s="19" t="s">
        <v>382</v>
      </c>
      <c r="B3" s="20"/>
    </row>
    <row r="4" spans="1:2" ht="15" customHeight="1" x14ac:dyDescent="0.2">
      <c r="A4" s="19" t="s">
        <v>383</v>
      </c>
      <c r="B4" s="19" t="s">
        <v>384</v>
      </c>
    </row>
    <row r="5" spans="1:2" ht="15" customHeight="1" x14ac:dyDescent="0.2">
      <c r="A5" s="19" t="s">
        <v>385</v>
      </c>
      <c r="B5" s="19" t="s">
        <v>386</v>
      </c>
    </row>
    <row r="6" spans="1:2" ht="15" customHeight="1" x14ac:dyDescent="0.2">
      <c r="A6" s="19" t="s">
        <v>387</v>
      </c>
      <c r="B6" s="19" t="s">
        <v>388</v>
      </c>
    </row>
    <row r="7" spans="1:2" ht="15" customHeight="1" x14ac:dyDescent="0.2">
      <c r="A7" s="19" t="s">
        <v>389</v>
      </c>
      <c r="B7" s="21">
        <v>10</v>
      </c>
    </row>
    <row r="8" spans="1:2" ht="15" customHeight="1" x14ac:dyDescent="0.2">
      <c r="A8" s="19" t="s">
        <v>390</v>
      </c>
      <c r="B8" s="21">
        <v>105</v>
      </c>
    </row>
    <row r="9" spans="1:2" ht="15" customHeight="1" x14ac:dyDescent="0.2">
      <c r="A9" s="19" t="s">
        <v>391</v>
      </c>
      <c r="B9" s="19" t="s">
        <v>392</v>
      </c>
    </row>
    <row r="10" spans="1:2" ht="15" customHeight="1" x14ac:dyDescent="0.2">
      <c r="A10" s="19" t="s">
        <v>393</v>
      </c>
      <c r="B10" s="19" t="s">
        <v>394</v>
      </c>
    </row>
    <row r="11" spans="1:2" ht="15" customHeight="1" x14ac:dyDescent="0.2">
      <c r="A11" s="19" t="s">
        <v>395</v>
      </c>
      <c r="B11" s="19" t="s">
        <v>396</v>
      </c>
    </row>
    <row r="12" spans="1:2" ht="15" customHeight="1" x14ac:dyDescent="0.2">
      <c r="A12" s="19" t="s">
        <v>397</v>
      </c>
      <c r="B12" s="19" t="s">
        <v>396</v>
      </c>
    </row>
    <row r="13" spans="1:2" ht="15" customHeight="1" x14ac:dyDescent="0.2">
      <c r="A13" s="19" t="s">
        <v>398</v>
      </c>
      <c r="B13" s="19" t="s">
        <v>399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Angus Ball</cp:lastModifiedBy>
  <dcterms:modified xsi:type="dcterms:W3CDTF">2025-04-11T16:44:37Z</dcterms:modified>
</cp:coreProperties>
</file>