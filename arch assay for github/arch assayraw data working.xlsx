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unbc-my.sharepoint.com/personal/mpreston_unbc_ca/Documents/Students/Angus Ball/Lab work/The Nautilus/Data/On qPCR/Arch Assay/"/>
    </mc:Choice>
  </mc:AlternateContent>
  <xr:revisionPtr revIDLastSave="164" documentId="8_{586BF76F-5282-49D7-8EFF-111522CC32B4}" xr6:coauthVersionLast="47" xr6:coauthVersionMax="47" xr10:uidLastSave="{E1BBA1C1-99C7-456A-9CF5-84AC7A305996}"/>
  <bookViews>
    <workbookView xWindow="-28920" yWindow="-120" windowWidth="29040" windowHeight="15720" xr2:uid="{4E46B1B0-E906-4FCC-962D-8618A6A0F61C}"/>
  </bookViews>
  <sheets>
    <sheet name="raw data" sheetId="1" r:id="rId1"/>
    <sheet name="Sheet2" sheetId="3" r:id="rId2"/>
    <sheet name="bonus samples" sheetId="2" r:id="rId3"/>
    <sheet name="no technical replicates" sheetId="4" r:id="rId4"/>
    <sheet name="working" sheetId="5" r:id="rId5"/>
    <sheet name="clea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6" i="5" l="1"/>
  <c r="R63" i="5"/>
  <c r="R62" i="5"/>
  <c r="R61" i="5"/>
  <c r="R60" i="5"/>
  <c r="R59" i="5"/>
  <c r="R58" i="5"/>
  <c r="R57" i="5"/>
  <c r="R56" i="5"/>
  <c r="R55" i="5"/>
  <c r="R54" i="5"/>
  <c r="R53" i="5"/>
  <c r="R52" i="5"/>
  <c r="R51" i="5"/>
  <c r="R50" i="5"/>
  <c r="R49" i="5"/>
  <c r="R48" i="5"/>
  <c r="R47" i="5"/>
  <c r="R46" i="5"/>
  <c r="R45" i="5"/>
  <c r="R44" i="5"/>
  <c r="R43" i="5"/>
  <c r="R42" i="5"/>
  <c r="R41" i="5"/>
  <c r="R40" i="5"/>
  <c r="R39" i="5"/>
  <c r="R38" i="5"/>
  <c r="R37" i="5"/>
  <c r="R36" i="5"/>
  <c r="R35" i="5"/>
  <c r="R34" i="5"/>
  <c r="R33" i="5"/>
  <c r="R32" i="5"/>
  <c r="R31" i="5"/>
  <c r="R30" i="5"/>
  <c r="R29" i="5"/>
  <c r="R28" i="5"/>
  <c r="R27" i="5"/>
  <c r="R26" i="5"/>
  <c r="R25" i="5"/>
  <c r="R24" i="5"/>
  <c r="R23" i="5"/>
  <c r="R22" i="5"/>
  <c r="R21" i="5"/>
  <c r="R20" i="5"/>
  <c r="R19" i="5"/>
  <c r="R18" i="5"/>
  <c r="R17" i="5"/>
  <c r="R16" i="5"/>
  <c r="R15" i="5"/>
  <c r="R14" i="5"/>
  <c r="R13" i="5"/>
  <c r="R12" i="5"/>
  <c r="R11" i="5"/>
  <c r="R10" i="5"/>
  <c r="R9" i="5"/>
  <c r="R8" i="5"/>
  <c r="R7" i="5"/>
  <c r="R6" i="5"/>
  <c r="R5" i="5"/>
  <c r="R4" i="5"/>
  <c r="R3" i="5"/>
  <c r="R2" i="5"/>
  <c r="P63" i="5"/>
  <c r="P62" i="5"/>
  <c r="P61" i="5"/>
  <c r="P60" i="5"/>
  <c r="P59" i="5"/>
  <c r="P58" i="5"/>
  <c r="P57" i="5"/>
  <c r="P56" i="5"/>
  <c r="P55" i="5"/>
  <c r="P54" i="5"/>
  <c r="P53" i="5"/>
  <c r="P52" i="5"/>
  <c r="P51" i="5"/>
  <c r="P50" i="5"/>
  <c r="P49" i="5"/>
  <c r="P48" i="5"/>
  <c r="P47" i="5"/>
  <c r="P46" i="5"/>
  <c r="P45" i="5"/>
  <c r="P44" i="5"/>
  <c r="P43" i="5"/>
  <c r="P42" i="5"/>
  <c r="P41" i="5"/>
  <c r="P40" i="5"/>
  <c r="P39" i="5"/>
  <c r="P38" i="5"/>
  <c r="P37" i="5"/>
  <c r="P36" i="5"/>
  <c r="P35" i="5"/>
  <c r="P34" i="5"/>
  <c r="P33" i="5"/>
  <c r="P32" i="5"/>
  <c r="P31" i="5"/>
  <c r="P30" i="5"/>
  <c r="P29" i="5"/>
  <c r="P28" i="5"/>
  <c r="P27" i="5"/>
  <c r="P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P6" i="5"/>
  <c r="P5" i="5"/>
  <c r="P4" i="5"/>
  <c r="P3" i="5"/>
  <c r="P2" i="5"/>
</calcChain>
</file>

<file path=xl/sharedStrings.xml><?xml version="1.0" encoding="utf-8"?>
<sst xmlns="http://schemas.openxmlformats.org/spreadsheetml/2006/main" count="3823" uniqueCount="362">
  <si>
    <t>Well</t>
  </si>
  <si>
    <t>Cq</t>
  </si>
  <si>
    <t>SQ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</si>
  <si>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</si>
  <si>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</si>
  <si>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</si>
  <si>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</si>
  <si>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</si>
  <si>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</si>
  <si>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</si>
  <si>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</si>
  <si>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</si>
  <si>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</si>
  <si>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</si>
  <si>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</si>
  <si>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NaN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</si>
  <si>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</si>
  <si>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</si>
  <si>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</si>
  <si>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</si>
  <si>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</si>
  <si>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</si>
  <si>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</si>
  <si>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</si>
  <si>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</si>
  <si>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</si>
  <si>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</si>
  <si>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</si>
  <si>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</si>
  <si>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</si>
  <si>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</si>
  <si>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</si>
  <si>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</si>
  <si>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</si>
  <si>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</si>
  <si>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</si>
  <si>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</si>
  <si>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</si>
  <si>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</si>
  <si>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</si>
  <si>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</si>
  <si>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</si>
  <si>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</si>
  <si>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</si>
  <si>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</si>
  <si>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</si>
  <si>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</si>
  <si>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</si>
  <si>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</si>
  <si>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</si>
  <si>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</si>
  <si>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</si>
  <si>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</si>
  <si>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</si>
  <si>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</si>
  <si>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</si>
  <si>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</si>
  <si>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</si>
  <si>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</si>
  <si>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</si>
  <si>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</si>
  <si>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</si>
  <si>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</si>
  <si>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</si>
  <si>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</si>
  <si>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</si>
  <si>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</si>
  <si>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</si>
  <si>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</si>
  <si>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</si>
  <si>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</si>
  <si>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</si>
  <si>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</si>
  <si>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</si>
  <si>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</si>
  <si>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</si>
  <si>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</si>
  <si>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</si>
  <si>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</si>
  <si>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</si>
  <si>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</si>
  <si>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</si>
  <si>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</si>
  <si>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</si>
  <si>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</si>
  <si>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</si>
  <si>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</si>
  <si>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</si>
  <si>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</si>
  <si>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</si>
  <si>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</si>
  <si>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</si>
  <si>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</si>
  <si>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</si>
  <si>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</si>
  <si>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</si>
  <si>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</si>
  <si>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</si>
  <si>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</si>
  <si>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</si>
  <si>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I01</t>
  </si>
  <si>
    <t>I02</t>
  </si>
  <si>
    <t>I03</t>
  </si>
  <si>
    <t>I04</t>
  </si>
  <si>
    <t>I05</t>
  </si>
  <si>
    <t>I06</t>
  </si>
  <si>
    <t>I07</t>
  </si>
  <si>
    <t>I08</t>
  </si>
  <si>
    <t>I09</t>
  </si>
  <si>
    <t>I10</t>
  </si>
  <si>
    <t>I11</t>
  </si>
  <si>
    <t>I12</t>
  </si>
  <si>
    <t>J01</t>
  </si>
  <si>
    <t>J02</t>
  </si>
  <si>
    <t>J03</t>
  </si>
  <si>
    <t>J04</t>
  </si>
  <si>
    <t>J05</t>
  </si>
  <si>
    <t>J06</t>
  </si>
  <si>
    <t>J07</t>
  </si>
  <si>
    <t>J08</t>
  </si>
  <si>
    <t>J09</t>
  </si>
  <si>
    <t>J10</t>
  </si>
  <si>
    <t>J11</t>
  </si>
  <si>
    <t>J12</t>
  </si>
  <si>
    <t>K01</t>
  </si>
  <si>
    <t>K02</t>
  </si>
  <si>
    <t>K03</t>
  </si>
  <si>
    <t>K04</t>
  </si>
  <si>
    <t>K05</t>
  </si>
  <si>
    <t>K06</t>
  </si>
  <si>
    <t>K07</t>
  </si>
  <si>
    <t>K08</t>
  </si>
  <si>
    <t>K09</t>
  </si>
  <si>
    <t>K10</t>
  </si>
  <si>
    <t>K11</t>
  </si>
  <si>
    <t>K12</t>
  </si>
  <si>
    <t>L01</t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</si>
  <si>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</si>
  <si>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</si>
  <si>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</si>
  <si>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</si>
  <si>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</si>
  <si>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</si>
  <si>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</si>
  <si>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</si>
  <si>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</si>
  <si>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</si>
  <si>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</si>
  <si>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</si>
  <si>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</si>
  <si>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</si>
  <si>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</si>
  <si>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</si>
  <si>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</si>
  <si>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</si>
  <si>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</si>
  <si>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</si>
  <si>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</si>
  <si>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</si>
  <si>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</si>
  <si>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</si>
  <si>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</si>
  <si>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</si>
  <si>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N01</t>
  </si>
  <si>
    <t>N02</t>
  </si>
  <si>
    <t>N03</t>
  </si>
  <si>
    <t>N04</t>
  </si>
  <si>
    <t>N05</t>
  </si>
  <si>
    <t>N06</t>
  </si>
  <si>
    <t>N07</t>
  </si>
  <si>
    <t>N08</t>
  </si>
  <si>
    <t>N09</t>
  </si>
  <si>
    <t>N10</t>
  </si>
  <si>
    <t>N11</t>
  </si>
  <si>
    <t>N12</t>
  </si>
  <si>
    <t>N13</t>
  </si>
  <si>
    <t>N14</t>
  </si>
  <si>
    <t>N15</t>
  </si>
  <si>
    <t>O01</t>
  </si>
  <si>
    <t>O02</t>
  </si>
  <si>
    <t>O03</t>
  </si>
  <si>
    <t>O04</t>
  </si>
  <si>
    <t>O05</t>
  </si>
  <si>
    <t>O06</t>
  </si>
  <si>
    <t>O07</t>
  </si>
  <si>
    <t>O08</t>
  </si>
  <si>
    <t>O09</t>
  </si>
  <si>
    <t>O10</t>
  </si>
  <si>
    <t>O11</t>
  </si>
  <si>
    <t>O12</t>
  </si>
  <si>
    <t>O13</t>
  </si>
  <si>
    <t>O14</t>
  </si>
  <si>
    <t>O15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</si>
  <si>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</si>
  <si>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</si>
  <si>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</si>
  <si>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</si>
  <si>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</si>
  <si>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</si>
  <si>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</si>
  <si>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</si>
  <si>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</si>
  <si>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</si>
  <si>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</si>
  <si>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</si>
  <si>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</si>
  <si>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</si>
  <si>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</si>
  <si>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SampleID</t>
  </si>
  <si>
    <t>core</t>
  </si>
  <si>
    <t>layer</t>
  </si>
  <si>
    <t>depthhigh</t>
  </si>
  <si>
    <t>depthlow</t>
  </si>
  <si>
    <t>segment</t>
  </si>
  <si>
    <t>width</t>
  </si>
  <si>
    <t>site</t>
  </si>
  <si>
    <t>lake</t>
  </si>
  <si>
    <t>condition</t>
  </si>
  <si>
    <t>order</t>
  </si>
  <si>
    <t>QLDc1_TS</t>
  </si>
  <si>
    <t>QLDc1</t>
  </si>
  <si>
    <t>TS</t>
  </si>
  <si>
    <t>0-2</t>
  </si>
  <si>
    <t>Quesnel Lake</t>
  </si>
  <si>
    <t>Disaster</t>
  </si>
  <si>
    <t>QLDc1_TL1</t>
  </si>
  <si>
    <t>TL1</t>
  </si>
  <si>
    <t>2-6</t>
  </si>
  <si>
    <t>QLDc1_TL2</t>
  </si>
  <si>
    <t>TL2</t>
  </si>
  <si>
    <t>6-10</t>
  </si>
  <si>
    <t>QLDc1_TL3</t>
  </si>
  <si>
    <t>TL3</t>
  </si>
  <si>
    <t>10-14</t>
  </si>
  <si>
    <t>QLDc1_TL4</t>
  </si>
  <si>
    <t>TL4</t>
  </si>
  <si>
    <t>14-18</t>
  </si>
  <si>
    <t>QLDc1_I</t>
  </si>
  <si>
    <t>I</t>
  </si>
  <si>
    <t>18-21</t>
  </si>
  <si>
    <t>QLDc1_NS1</t>
  </si>
  <si>
    <t>NS1</t>
  </si>
  <si>
    <t>21-23</t>
  </si>
  <si>
    <t>QLDc1_NS2</t>
  </si>
  <si>
    <t>NS2</t>
  </si>
  <si>
    <t>23-25</t>
  </si>
  <si>
    <t>QLDc1_NS3</t>
  </si>
  <si>
    <t>NS3</t>
  </si>
  <si>
    <t>25-27</t>
  </si>
  <si>
    <t>QLDc2_TS</t>
  </si>
  <si>
    <t>QLDc2</t>
  </si>
  <si>
    <t>QLDc2_TL1</t>
  </si>
  <si>
    <t>QLDc2_TL2</t>
  </si>
  <si>
    <t>QLDc2_TL3</t>
  </si>
  <si>
    <t>QLDc2_TL4</t>
  </si>
  <si>
    <t>QLDc2_I</t>
  </si>
  <si>
    <t>QLDc2_NS1</t>
  </si>
  <si>
    <t>QLDc2_NS2</t>
  </si>
  <si>
    <t>QLDc2_NS3</t>
  </si>
  <si>
    <t>QLDc3_TS</t>
  </si>
  <si>
    <t>QLDc3</t>
  </si>
  <si>
    <t>QLDc3_TL1</t>
  </si>
  <si>
    <t>QLDc3_TL2</t>
  </si>
  <si>
    <t>QLDc3_TL3</t>
  </si>
  <si>
    <t>QLDc3_TL4</t>
  </si>
  <si>
    <t>QLDc3_I</t>
  </si>
  <si>
    <t>QLDc3_NS1</t>
  </si>
  <si>
    <t>QLDc3_NS2</t>
  </si>
  <si>
    <t>QLDc3_NS3</t>
  </si>
  <si>
    <t>QLNc1_SH1</t>
  </si>
  <si>
    <t>QLNc1</t>
  </si>
  <si>
    <t>SH1</t>
  </si>
  <si>
    <t>Natural</t>
  </si>
  <si>
    <t>QLNc1_SH2</t>
  </si>
  <si>
    <t>SH2</t>
  </si>
  <si>
    <t>2-4</t>
  </si>
  <si>
    <t>QLNc1_SH3</t>
  </si>
  <si>
    <t>SH3</t>
  </si>
  <si>
    <t>4-6</t>
  </si>
  <si>
    <t>QLNc1_SH4</t>
  </si>
  <si>
    <t>SH4</t>
  </si>
  <si>
    <t>6-8</t>
  </si>
  <si>
    <t>QLNc1_SH5</t>
  </si>
  <si>
    <t>SH5</t>
  </si>
  <si>
    <t>8-10</t>
  </si>
  <si>
    <t>QLNc1_LN1</t>
  </si>
  <si>
    <t>LN1</t>
  </si>
  <si>
    <t>QLNc1_LN2</t>
  </si>
  <si>
    <t>LN2</t>
  </si>
  <si>
    <t>QLNc1_LN3</t>
  </si>
  <si>
    <t>LN3</t>
  </si>
  <si>
    <t>18-22</t>
  </si>
  <si>
    <t>QLNc1_LN4</t>
  </si>
  <si>
    <t>LN4</t>
  </si>
  <si>
    <t>22-26</t>
  </si>
  <si>
    <t>QLNc2_SH1</t>
  </si>
  <si>
    <t>QLNc2</t>
  </si>
  <si>
    <t>QLNc2_SH2</t>
  </si>
  <si>
    <t>QLNc2_SH3</t>
  </si>
  <si>
    <t>QLNc2_SH4</t>
  </si>
  <si>
    <t>QLNc2_SH5</t>
  </si>
  <si>
    <t>QLNc2_LN1</t>
  </si>
  <si>
    <t>QLNc2_LN2</t>
  </si>
  <si>
    <t>QLNc2_LN3</t>
  </si>
  <si>
    <t>QLNc2_LN4</t>
  </si>
  <si>
    <t>QLNc3_SH1</t>
  </si>
  <si>
    <t>QLNc3</t>
  </si>
  <si>
    <t>QLNc3_SH2</t>
  </si>
  <si>
    <t>QLNc3_SH3</t>
  </si>
  <si>
    <t>QLNc3_SH4</t>
  </si>
  <si>
    <t>QLNc3_SH5</t>
  </si>
  <si>
    <t>QLNc3_LN1</t>
  </si>
  <si>
    <t>QLNc3_LN2</t>
  </si>
  <si>
    <t>QLNc3_LN3</t>
  </si>
  <si>
    <t>QLNc3_LN4</t>
  </si>
  <si>
    <t>WKL1_T</t>
  </si>
  <si>
    <t>WKL1</t>
  </si>
  <si>
    <t>T</t>
  </si>
  <si>
    <t>0-10</t>
  </si>
  <si>
    <t>Elliot Lake</t>
  </si>
  <si>
    <t>Whiskey Lake</t>
  </si>
  <si>
    <t>WKL1_B</t>
  </si>
  <si>
    <t>B</t>
  </si>
  <si>
    <t>10-20</t>
  </si>
  <si>
    <t>WKL2_T</t>
  </si>
  <si>
    <t>WKL2</t>
  </si>
  <si>
    <t>WKL2_B</t>
  </si>
  <si>
    <t>WFL1_T</t>
  </si>
  <si>
    <t>WFL1</t>
  </si>
  <si>
    <t>Whitefish Lake</t>
  </si>
  <si>
    <t>WFL1_B</t>
  </si>
  <si>
    <t>WFL2_T</t>
  </si>
  <si>
    <t>WFL2</t>
  </si>
  <si>
    <t>WFL2_B</t>
  </si>
  <si>
    <t>A</t>
  </si>
  <si>
    <t>C</t>
  </si>
  <si>
    <t>D</t>
  </si>
  <si>
    <t>E</t>
  </si>
  <si>
    <t>F</t>
  </si>
  <si>
    <t>G</t>
  </si>
  <si>
    <t>H</t>
  </si>
  <si>
    <t>J</t>
  </si>
  <si>
    <t>K</t>
  </si>
  <si>
    <t>L</t>
  </si>
  <si>
    <t>M</t>
  </si>
  <si>
    <t>N</t>
  </si>
  <si>
    <t>O</t>
  </si>
  <si>
    <t>P</t>
  </si>
  <si>
    <t>col number</t>
  </si>
  <si>
    <t>row number</t>
  </si>
  <si>
    <t>Qiagen blank</t>
  </si>
  <si>
    <t>NTC</t>
  </si>
  <si>
    <t>SQ_mean</t>
  </si>
  <si>
    <t>SQ_std</t>
  </si>
  <si>
    <t>SQ_RE</t>
  </si>
  <si>
    <t>DNA_Extraction_Blank</t>
  </si>
  <si>
    <t>QLNc3_SH1_36ng</t>
  </si>
  <si>
    <t>QLNc3_SH1_3ng</t>
  </si>
  <si>
    <t>ID</t>
  </si>
  <si>
    <t>mass of dna extraction</t>
  </si>
  <si>
    <t>copies per gram</t>
  </si>
  <si>
    <t>complicated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</si>
</sst>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8" fillId="0" borderId="0" xfId="0" applyFont="1" applyAlignment="1">
      <alignment vertical="center"/>
    </xf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79C74-192C-40FC-B84D-B6AB145EE194}">
  <dimension ref="A1:P205"/>
  <sheetViews>
    <sheetView tabSelected="1" topLeftCell="A139" zoomScaleNormal="100" workbookViewId="0">
      <selection activeCell="E212" sqref="E212"/>
    </sheetView>
  </sheetViews>
  <sheetFormatPr defaultRowHeight="14.4"/>
  <cols>
    <col min="2" max="2" width="10.5546875" bestFit="1" customWidth="1"/>
    <col min="3" max="3" width="10" bestFit="1" customWidth="1"/>
    <col min="4" max="4" width="10.6640625" bestFit="1" customWidth="1"/>
    <col min="7" max="7" width="15.6640625" bestFit="1" customWidth="1"/>
    <col min="8" max="8" width="15.109375" bestFit="1" customWidth="1"/>
    <col min="11" max="11" width="11.77734375" bestFit="1" customWidth="1"/>
    <col min="12" max="12" width="13.109375" bestFit="1" customWidth="1"/>
  </cols>
  <sheetData>
    <row r="1" spans="1:16">
      <c r="A1" t="s">
        <v>0</v>
      </c>
      <c r="B1" t="s">
        <v>349</v>
      </c>
      <c r="C1" t="s">
        <v>348</v>
      </c>
      <c r="D1" t="s">
        <v>208</v>
      </c>
      <c r="E1" t="s">
        <v>209</v>
      </c>
      <c r="F1" t="s">
        <v>210</v>
      </c>
      <c r="G1" t="s">
        <v>211</v>
      </c>
      <c r="H1" t="s">
        <v>212</v>
      </c>
      <c r="I1" t="s">
        <v>213</v>
      </c>
      <c r="J1" t="s">
        <v>214</v>
      </c>
      <c r="K1" t="s">
        <v>215</v>
      </c>
      <c r="L1" t="s">
        <v>216</v>
      </c>
      <c r="M1" t="s">
        <v>217</v>
      </c>
      <c r="N1" t="s">
        <v>218</v>
      </c>
      <c r="O1" t="s">
        <v>1</v>
      </c>
      <c r="P1" t="s">
        <v>2</v>
      </c>
    </row>
    <row r="2" spans="1:16">
      <c r="A2" t="s">
        <v>3</v>
      </c>
      <c r="B2" s="2" t="s">
        <v>334</v>
      </c>
      <c r="C2" s="2">
        <v>1</v>
      </c>
      <c r="D2" t="s">
        <v>219</v>
      </c>
      <c r="E2" t="s">
        <v>220</v>
      </c>
      <c r="F2" t="s">
        <v>221</v>
      </c>
      <c r="G2">
        <v>0</v>
      </c>
      <c r="H2">
        <v>2</v>
      </c>
      <c r="I2" t="s">
        <v>222</v>
      </c>
      <c r="J2">
        <v>2</v>
      </c>
      <c r="K2" t="s">
        <v>223</v>
      </c>
      <c r="L2" t="s">
        <v>223</v>
      </c>
      <c r="M2" t="s">
        <v>224</v>
      </c>
      <c r="N2">
        <v>1</v>
      </c>
      <c r="O2">
        <v>19.4997891756062</v>
      </c>
      <c r="P2">
        <v>15871.236093294699</v>
      </c>
    </row>
    <row r="3" spans="1:16">
      <c r="A3" t="s">
        <v>4</v>
      </c>
      <c r="B3" s="2" t="s">
        <v>334</v>
      </c>
      <c r="C3" s="2">
        <v>2</v>
      </c>
      <c r="D3" t="s">
        <v>219</v>
      </c>
      <c r="E3" t="s">
        <v>220</v>
      </c>
      <c r="F3" t="s">
        <v>221</v>
      </c>
      <c r="G3">
        <v>0</v>
      </c>
      <c r="H3">
        <v>2</v>
      </c>
      <c r="I3" t="s">
        <v>222</v>
      </c>
      <c r="J3">
        <v>2</v>
      </c>
      <c r="K3" t="s">
        <v>223</v>
      </c>
      <c r="L3" t="s">
        <v>223</v>
      </c>
      <c r="M3" t="s">
        <v>224</v>
      </c>
      <c r="N3">
        <v>1</v>
      </c>
      <c r="O3">
        <v>19.754790337747</v>
      </c>
      <c r="P3">
        <v>13305.385777773699</v>
      </c>
    </row>
    <row r="4" spans="1:16">
      <c r="A4" t="s">
        <v>5</v>
      </c>
      <c r="B4" s="2" t="s">
        <v>334</v>
      </c>
      <c r="C4" s="2">
        <v>3</v>
      </c>
      <c r="D4" t="s">
        <v>219</v>
      </c>
      <c r="E4" t="s">
        <v>220</v>
      </c>
      <c r="F4" t="s">
        <v>221</v>
      </c>
      <c r="G4">
        <v>0</v>
      </c>
      <c r="H4">
        <v>2</v>
      </c>
      <c r="I4" t="s">
        <v>222</v>
      </c>
      <c r="J4">
        <v>2</v>
      </c>
      <c r="K4" t="s">
        <v>223</v>
      </c>
      <c r="L4" t="s">
        <v>223</v>
      </c>
      <c r="M4" t="s">
        <v>224</v>
      </c>
      <c r="N4">
        <v>1</v>
      </c>
      <c r="O4">
        <v>19.755307844136802</v>
      </c>
      <c r="P4">
        <v>13300.625054067699</v>
      </c>
    </row>
    <row r="5" spans="1:16">
      <c r="A5" t="s">
        <v>31</v>
      </c>
      <c r="B5" s="2" t="s">
        <v>335</v>
      </c>
      <c r="C5" s="2">
        <v>4</v>
      </c>
      <c r="D5" t="s">
        <v>259</v>
      </c>
      <c r="E5" t="s">
        <v>260</v>
      </c>
      <c r="F5" t="s">
        <v>221</v>
      </c>
      <c r="G5">
        <v>0</v>
      </c>
      <c r="H5">
        <v>2</v>
      </c>
      <c r="I5" t="s">
        <v>222</v>
      </c>
      <c r="J5">
        <v>2</v>
      </c>
      <c r="K5" t="s">
        <v>223</v>
      </c>
      <c r="L5" t="s">
        <v>223</v>
      </c>
      <c r="M5" t="s">
        <v>224</v>
      </c>
      <c r="N5">
        <v>1</v>
      </c>
      <c r="O5">
        <v>19.3584177088463</v>
      </c>
      <c r="P5">
        <v>17501.213763826399</v>
      </c>
    </row>
    <row r="6" spans="1:16">
      <c r="A6" t="s">
        <v>32</v>
      </c>
      <c r="B6" s="2" t="s">
        <v>335</v>
      </c>
      <c r="C6" s="2">
        <v>5</v>
      </c>
      <c r="D6" t="s">
        <v>259</v>
      </c>
      <c r="E6" t="s">
        <v>260</v>
      </c>
      <c r="F6" t="s">
        <v>221</v>
      </c>
      <c r="G6">
        <v>0</v>
      </c>
      <c r="H6">
        <v>2</v>
      </c>
      <c r="I6" t="s">
        <v>222</v>
      </c>
      <c r="J6">
        <v>2</v>
      </c>
      <c r="K6" t="s">
        <v>223</v>
      </c>
      <c r="L6" t="s">
        <v>223</v>
      </c>
      <c r="M6" t="s">
        <v>224</v>
      </c>
      <c r="N6">
        <v>1</v>
      </c>
      <c r="O6">
        <v>19.358673493087501</v>
      </c>
      <c r="P6">
        <v>17498.118404706802</v>
      </c>
    </row>
    <row r="7" spans="1:16">
      <c r="A7" t="s">
        <v>33</v>
      </c>
      <c r="B7" s="2" t="s">
        <v>335</v>
      </c>
      <c r="C7" s="2">
        <v>6</v>
      </c>
      <c r="D7" t="s">
        <v>259</v>
      </c>
      <c r="E7" t="s">
        <v>260</v>
      </c>
      <c r="F7" t="s">
        <v>221</v>
      </c>
      <c r="G7">
        <v>0</v>
      </c>
      <c r="H7">
        <v>2</v>
      </c>
      <c r="I7" t="s">
        <v>222</v>
      </c>
      <c r="J7">
        <v>2</v>
      </c>
      <c r="K7" t="s">
        <v>223</v>
      </c>
      <c r="L7" t="s">
        <v>223</v>
      </c>
      <c r="M7" t="s">
        <v>224</v>
      </c>
      <c r="N7">
        <v>1</v>
      </c>
      <c r="O7">
        <v>19.231260161702799</v>
      </c>
      <c r="P7">
        <v>19109.828440612098</v>
      </c>
    </row>
    <row r="8" spans="1:16">
      <c r="A8" t="s">
        <v>112</v>
      </c>
      <c r="B8" s="2" t="s">
        <v>341</v>
      </c>
      <c r="C8" s="2">
        <v>1</v>
      </c>
      <c r="D8" t="s">
        <v>249</v>
      </c>
      <c r="E8" t="s">
        <v>250</v>
      </c>
      <c r="F8" t="s">
        <v>221</v>
      </c>
      <c r="G8">
        <v>0</v>
      </c>
      <c r="H8">
        <v>2</v>
      </c>
      <c r="I8" t="s">
        <v>222</v>
      </c>
      <c r="J8">
        <v>2</v>
      </c>
      <c r="K8" t="s">
        <v>223</v>
      </c>
      <c r="L8" t="s">
        <v>223</v>
      </c>
      <c r="M8" t="s">
        <v>224</v>
      </c>
      <c r="N8">
        <v>1</v>
      </c>
      <c r="O8">
        <v>19.149150680650902</v>
      </c>
      <c r="P8">
        <v>20226.294967202401</v>
      </c>
    </row>
    <row r="9" spans="1:16">
      <c r="A9" t="s">
        <v>113</v>
      </c>
      <c r="B9" s="2" t="s">
        <v>341</v>
      </c>
      <c r="C9" s="2">
        <v>2</v>
      </c>
      <c r="D9" t="s">
        <v>249</v>
      </c>
      <c r="E9" t="s">
        <v>250</v>
      </c>
      <c r="F9" t="s">
        <v>221</v>
      </c>
      <c r="G9">
        <v>0</v>
      </c>
      <c r="H9">
        <v>2</v>
      </c>
      <c r="I9" t="s">
        <v>222</v>
      </c>
      <c r="J9">
        <v>2</v>
      </c>
      <c r="K9" t="s">
        <v>223</v>
      </c>
      <c r="L9" t="s">
        <v>223</v>
      </c>
      <c r="M9" t="s">
        <v>224</v>
      </c>
      <c r="N9">
        <v>1</v>
      </c>
      <c r="O9">
        <v>18.6665526188489</v>
      </c>
      <c r="P9">
        <v>28239.220673481701</v>
      </c>
    </row>
    <row r="10" spans="1:16">
      <c r="A10" t="s">
        <v>114</v>
      </c>
      <c r="B10" s="2" t="s">
        <v>341</v>
      </c>
      <c r="C10" s="2">
        <v>3</v>
      </c>
      <c r="D10" t="s">
        <v>249</v>
      </c>
      <c r="E10" t="s">
        <v>250</v>
      </c>
      <c r="F10" t="s">
        <v>221</v>
      </c>
      <c r="G10">
        <v>0</v>
      </c>
      <c r="H10">
        <v>2</v>
      </c>
      <c r="I10" t="s">
        <v>222</v>
      </c>
      <c r="J10">
        <v>2</v>
      </c>
      <c r="K10" t="s">
        <v>223</v>
      </c>
      <c r="L10" t="s">
        <v>223</v>
      </c>
      <c r="M10" t="s">
        <v>224</v>
      </c>
      <c r="N10">
        <v>1</v>
      </c>
      <c r="O10">
        <v>19.005451131277798</v>
      </c>
      <c r="P10">
        <v>22339.4736191923</v>
      </c>
    </row>
    <row r="11" spans="1:16">
      <c r="A11" t="s">
        <v>16</v>
      </c>
      <c r="B11" s="2" t="s">
        <v>322</v>
      </c>
      <c r="C11" s="2">
        <v>1</v>
      </c>
      <c r="D11" t="s">
        <v>225</v>
      </c>
      <c r="E11" t="s">
        <v>220</v>
      </c>
      <c r="F11" t="s">
        <v>226</v>
      </c>
      <c r="G11">
        <v>2</v>
      </c>
      <c r="H11">
        <v>6</v>
      </c>
      <c r="I11" t="s">
        <v>227</v>
      </c>
      <c r="J11">
        <v>4</v>
      </c>
      <c r="K11" t="s">
        <v>223</v>
      </c>
      <c r="L11" t="s">
        <v>223</v>
      </c>
      <c r="M11" t="s">
        <v>224</v>
      </c>
      <c r="N11">
        <v>2</v>
      </c>
      <c r="O11">
        <v>26.2230227216446</v>
      </c>
      <c r="P11">
        <v>151.863755245037</v>
      </c>
    </row>
    <row r="12" spans="1:16">
      <c r="A12" t="s">
        <v>17</v>
      </c>
      <c r="B12" s="2" t="s">
        <v>322</v>
      </c>
      <c r="C12" s="2">
        <v>2</v>
      </c>
      <c r="D12" t="s">
        <v>225</v>
      </c>
      <c r="E12" t="s">
        <v>220</v>
      </c>
      <c r="F12" t="s">
        <v>226</v>
      </c>
      <c r="G12">
        <v>2</v>
      </c>
      <c r="H12">
        <v>6</v>
      </c>
      <c r="I12" t="s">
        <v>227</v>
      </c>
      <c r="J12">
        <v>4</v>
      </c>
      <c r="K12" t="s">
        <v>223</v>
      </c>
      <c r="L12" t="s">
        <v>223</v>
      </c>
      <c r="M12" t="s">
        <v>224</v>
      </c>
      <c r="N12">
        <v>2</v>
      </c>
      <c r="O12">
        <v>26.347102950634302</v>
      </c>
      <c r="P12">
        <v>139.37655067384699</v>
      </c>
    </row>
    <row r="13" spans="1:16">
      <c r="A13" t="s">
        <v>18</v>
      </c>
      <c r="B13" s="2" t="s">
        <v>322</v>
      </c>
      <c r="C13" s="2">
        <v>3</v>
      </c>
      <c r="D13" t="s">
        <v>225</v>
      </c>
      <c r="E13" t="s">
        <v>220</v>
      </c>
      <c r="F13" t="s">
        <v>226</v>
      </c>
      <c r="G13">
        <v>2</v>
      </c>
      <c r="H13">
        <v>6</v>
      </c>
      <c r="I13" t="s">
        <v>227</v>
      </c>
      <c r="J13">
        <v>4</v>
      </c>
      <c r="K13" t="s">
        <v>223</v>
      </c>
      <c r="L13" t="s">
        <v>223</v>
      </c>
      <c r="M13" t="s">
        <v>224</v>
      </c>
      <c r="N13">
        <v>2</v>
      </c>
      <c r="O13">
        <v>26.1843791230752</v>
      </c>
      <c r="P13">
        <v>155.976719549969</v>
      </c>
    </row>
    <row r="14" spans="1:16">
      <c r="A14" t="s">
        <v>43</v>
      </c>
      <c r="B14" s="2" t="s">
        <v>336</v>
      </c>
      <c r="C14" s="2">
        <v>4</v>
      </c>
      <c r="D14" t="s">
        <v>261</v>
      </c>
      <c r="E14" t="s">
        <v>260</v>
      </c>
      <c r="F14" t="s">
        <v>226</v>
      </c>
      <c r="G14">
        <v>2</v>
      </c>
      <c r="H14">
        <v>6</v>
      </c>
      <c r="I14" t="s">
        <v>227</v>
      </c>
      <c r="J14">
        <v>4</v>
      </c>
      <c r="K14" t="s">
        <v>223</v>
      </c>
      <c r="L14" t="s">
        <v>223</v>
      </c>
      <c r="M14" t="s">
        <v>224</v>
      </c>
      <c r="N14">
        <v>2</v>
      </c>
      <c r="O14">
        <v>26.7802274424524</v>
      </c>
      <c r="P14">
        <v>103.30265950533401</v>
      </c>
    </row>
    <row r="15" spans="1:16">
      <c r="A15" t="s">
        <v>44</v>
      </c>
      <c r="B15" s="2" t="s">
        <v>336</v>
      </c>
      <c r="C15" s="2">
        <v>5</v>
      </c>
      <c r="D15" t="s">
        <v>261</v>
      </c>
      <c r="E15" t="s">
        <v>260</v>
      </c>
      <c r="F15" t="s">
        <v>226</v>
      </c>
      <c r="G15">
        <v>2</v>
      </c>
      <c r="H15">
        <v>6</v>
      </c>
      <c r="I15" t="s">
        <v>227</v>
      </c>
      <c r="J15">
        <v>4</v>
      </c>
      <c r="K15" t="s">
        <v>223</v>
      </c>
      <c r="L15" t="s">
        <v>223</v>
      </c>
      <c r="M15" t="s">
        <v>224</v>
      </c>
      <c r="N15">
        <v>2</v>
      </c>
      <c r="O15">
        <v>26.529047931392402</v>
      </c>
      <c r="P15">
        <v>122.89863102404701</v>
      </c>
    </row>
    <row r="16" spans="1:16">
      <c r="A16" t="s">
        <v>45</v>
      </c>
      <c r="B16" s="2" t="s">
        <v>336</v>
      </c>
      <c r="C16" s="2">
        <v>6</v>
      </c>
      <c r="D16" t="s">
        <v>261</v>
      </c>
      <c r="E16" t="s">
        <v>260</v>
      </c>
      <c r="F16" t="s">
        <v>226</v>
      </c>
      <c r="G16">
        <v>2</v>
      </c>
      <c r="H16">
        <v>6</v>
      </c>
      <c r="I16" t="s">
        <v>227</v>
      </c>
      <c r="J16">
        <v>4</v>
      </c>
      <c r="K16" t="s">
        <v>223</v>
      </c>
      <c r="L16" t="s">
        <v>223</v>
      </c>
      <c r="M16" t="s">
        <v>224</v>
      </c>
      <c r="N16">
        <v>2</v>
      </c>
      <c r="O16">
        <v>27.065147575906899</v>
      </c>
      <c r="P16">
        <v>84.828697702864801</v>
      </c>
    </row>
    <row r="17" spans="1:16">
      <c r="A17" t="s">
        <v>124</v>
      </c>
      <c r="B17" s="2" t="s">
        <v>342</v>
      </c>
      <c r="C17" s="2">
        <v>1</v>
      </c>
      <c r="D17" t="s">
        <v>251</v>
      </c>
      <c r="E17" t="s">
        <v>250</v>
      </c>
      <c r="F17" t="s">
        <v>226</v>
      </c>
      <c r="G17">
        <v>2</v>
      </c>
      <c r="H17">
        <v>6</v>
      </c>
      <c r="I17" t="s">
        <v>227</v>
      </c>
      <c r="J17">
        <v>4</v>
      </c>
      <c r="K17" t="s">
        <v>223</v>
      </c>
      <c r="L17" t="s">
        <v>223</v>
      </c>
      <c r="M17" t="s">
        <v>224</v>
      </c>
      <c r="N17">
        <v>2</v>
      </c>
      <c r="O17">
        <v>22.656745014704398</v>
      </c>
      <c r="P17">
        <v>1788.53434448902</v>
      </c>
    </row>
    <row r="18" spans="1:16">
      <c r="A18" t="s">
        <v>125</v>
      </c>
      <c r="B18" s="2" t="s">
        <v>342</v>
      </c>
      <c r="C18" s="2">
        <v>2</v>
      </c>
      <c r="D18" t="s">
        <v>251</v>
      </c>
      <c r="E18" t="s">
        <v>250</v>
      </c>
      <c r="F18" t="s">
        <v>226</v>
      </c>
      <c r="G18">
        <v>2</v>
      </c>
      <c r="H18">
        <v>6</v>
      </c>
      <c r="I18" t="s">
        <v>227</v>
      </c>
      <c r="J18">
        <v>4</v>
      </c>
      <c r="K18" t="s">
        <v>223</v>
      </c>
      <c r="L18" t="s">
        <v>223</v>
      </c>
      <c r="M18" t="s">
        <v>224</v>
      </c>
      <c r="N18">
        <v>2</v>
      </c>
      <c r="O18">
        <v>22.669232839176999</v>
      </c>
      <c r="P18">
        <v>1773.1557122091101</v>
      </c>
    </row>
    <row r="19" spans="1:16">
      <c r="A19" t="s">
        <v>126</v>
      </c>
      <c r="B19" s="2" t="s">
        <v>342</v>
      </c>
      <c r="C19" s="2">
        <v>3</v>
      </c>
      <c r="D19" t="s">
        <v>251</v>
      </c>
      <c r="E19" t="s">
        <v>250</v>
      </c>
      <c r="F19" t="s">
        <v>226</v>
      </c>
      <c r="G19">
        <v>2</v>
      </c>
      <c r="H19">
        <v>6</v>
      </c>
      <c r="I19" t="s">
        <v>227</v>
      </c>
      <c r="J19">
        <v>4</v>
      </c>
      <c r="K19" t="s">
        <v>223</v>
      </c>
      <c r="L19" t="s">
        <v>223</v>
      </c>
      <c r="M19" t="s">
        <v>224</v>
      </c>
      <c r="N19">
        <v>2</v>
      </c>
      <c r="O19">
        <v>22.763334744963299</v>
      </c>
      <c r="P19">
        <v>1661.4439689557901</v>
      </c>
    </row>
    <row r="20" spans="1:16">
      <c r="A20" t="s">
        <v>28</v>
      </c>
      <c r="B20" s="2" t="s">
        <v>335</v>
      </c>
      <c r="C20" s="2">
        <v>1</v>
      </c>
      <c r="D20" t="s">
        <v>228</v>
      </c>
      <c r="E20" t="s">
        <v>220</v>
      </c>
      <c r="F20" t="s">
        <v>229</v>
      </c>
      <c r="G20">
        <v>6</v>
      </c>
      <c r="H20">
        <v>10</v>
      </c>
      <c r="I20" t="s">
        <v>230</v>
      </c>
      <c r="J20">
        <v>4</v>
      </c>
      <c r="K20" t="s">
        <v>223</v>
      </c>
      <c r="L20" t="s">
        <v>223</v>
      </c>
      <c r="M20" t="s">
        <v>224</v>
      </c>
      <c r="N20">
        <v>3</v>
      </c>
      <c r="O20">
        <v>28.926632720080502</v>
      </c>
      <c r="P20">
        <v>23.414875762201</v>
      </c>
    </row>
    <row r="21" spans="1:16">
      <c r="A21" t="s">
        <v>29</v>
      </c>
      <c r="B21" s="2" t="s">
        <v>335</v>
      </c>
      <c r="C21" s="2">
        <v>2</v>
      </c>
      <c r="D21" t="s">
        <v>228</v>
      </c>
      <c r="E21" t="s">
        <v>220</v>
      </c>
      <c r="F21" t="s">
        <v>229</v>
      </c>
      <c r="G21">
        <v>6</v>
      </c>
      <c r="H21">
        <v>10</v>
      </c>
      <c r="I21" t="s">
        <v>230</v>
      </c>
      <c r="J21">
        <v>4</v>
      </c>
      <c r="K21" t="s">
        <v>223</v>
      </c>
      <c r="L21" t="s">
        <v>223</v>
      </c>
      <c r="M21" t="s">
        <v>224</v>
      </c>
      <c r="N21">
        <v>3</v>
      </c>
      <c r="O21">
        <v>28.794162908719599</v>
      </c>
      <c r="P21">
        <v>25.661136302531499</v>
      </c>
    </row>
    <row r="22" spans="1:16">
      <c r="A22" t="s">
        <v>30</v>
      </c>
      <c r="B22" s="2" t="s">
        <v>335</v>
      </c>
      <c r="C22" s="2">
        <v>3</v>
      </c>
      <c r="D22" t="s">
        <v>228</v>
      </c>
      <c r="E22" t="s">
        <v>220</v>
      </c>
      <c r="F22" t="s">
        <v>229</v>
      </c>
      <c r="G22">
        <v>6</v>
      </c>
      <c r="H22">
        <v>10</v>
      </c>
      <c r="I22" t="s">
        <v>230</v>
      </c>
      <c r="J22">
        <v>4</v>
      </c>
      <c r="K22" t="s">
        <v>223</v>
      </c>
      <c r="L22" t="s">
        <v>223</v>
      </c>
      <c r="M22" t="s">
        <v>224</v>
      </c>
      <c r="N22">
        <v>3</v>
      </c>
      <c r="O22">
        <v>28.344435492926301</v>
      </c>
      <c r="P22">
        <v>35.021953748391901</v>
      </c>
    </row>
    <row r="23" spans="1:16">
      <c r="A23" t="s">
        <v>55</v>
      </c>
      <c r="B23" s="2" t="s">
        <v>337</v>
      </c>
      <c r="C23" s="2">
        <v>4</v>
      </c>
      <c r="D23" t="s">
        <v>262</v>
      </c>
      <c r="E23" t="s">
        <v>260</v>
      </c>
      <c r="F23" t="s">
        <v>229</v>
      </c>
      <c r="G23">
        <v>6</v>
      </c>
      <c r="H23">
        <v>10</v>
      </c>
      <c r="I23" t="s">
        <v>230</v>
      </c>
      <c r="J23">
        <v>4</v>
      </c>
      <c r="K23" t="s">
        <v>223</v>
      </c>
      <c r="L23" t="s">
        <v>223</v>
      </c>
      <c r="M23" t="s">
        <v>224</v>
      </c>
      <c r="N23">
        <v>3</v>
      </c>
      <c r="O23">
        <v>28.3392877113019</v>
      </c>
      <c r="P23">
        <v>35.146847645339598</v>
      </c>
    </row>
    <row r="24" spans="1:16">
      <c r="A24" t="s">
        <v>56</v>
      </c>
      <c r="B24" s="2" t="s">
        <v>337</v>
      </c>
      <c r="C24" s="2">
        <v>5</v>
      </c>
      <c r="D24" t="s">
        <v>262</v>
      </c>
      <c r="E24" t="s">
        <v>260</v>
      </c>
      <c r="F24" t="s">
        <v>229</v>
      </c>
      <c r="G24">
        <v>6</v>
      </c>
      <c r="H24">
        <v>10</v>
      </c>
      <c r="I24" t="s">
        <v>230</v>
      </c>
      <c r="J24">
        <v>4</v>
      </c>
      <c r="K24" t="s">
        <v>223</v>
      </c>
      <c r="L24" t="s">
        <v>223</v>
      </c>
      <c r="M24" t="s">
        <v>224</v>
      </c>
      <c r="N24">
        <v>3</v>
      </c>
      <c r="O24">
        <v>27.845638968720198</v>
      </c>
      <c r="P24">
        <v>49.4471821822371</v>
      </c>
    </row>
    <row r="25" spans="1:16">
      <c r="A25" t="s">
        <v>57</v>
      </c>
      <c r="B25" s="2" t="s">
        <v>337</v>
      </c>
      <c r="C25" s="2">
        <v>6</v>
      </c>
      <c r="D25" t="s">
        <v>262</v>
      </c>
      <c r="E25" t="s">
        <v>260</v>
      </c>
      <c r="F25" t="s">
        <v>229</v>
      </c>
      <c r="G25">
        <v>6</v>
      </c>
      <c r="H25">
        <v>10</v>
      </c>
      <c r="I25" t="s">
        <v>230</v>
      </c>
      <c r="J25">
        <v>4</v>
      </c>
      <c r="K25" t="s">
        <v>223</v>
      </c>
      <c r="L25" t="s">
        <v>223</v>
      </c>
      <c r="M25" t="s">
        <v>224</v>
      </c>
      <c r="N25">
        <v>3</v>
      </c>
      <c r="O25">
        <v>28.168545312262001</v>
      </c>
      <c r="P25">
        <v>39.551652005933299</v>
      </c>
    </row>
    <row r="26" spans="1:16">
      <c r="A26" t="s">
        <v>136</v>
      </c>
      <c r="B26" s="2" t="s">
        <v>343</v>
      </c>
      <c r="C26" s="2">
        <v>1</v>
      </c>
      <c r="D26" t="s">
        <v>252</v>
      </c>
      <c r="E26" t="s">
        <v>250</v>
      </c>
      <c r="F26" t="s">
        <v>229</v>
      </c>
      <c r="G26">
        <v>6</v>
      </c>
      <c r="H26">
        <v>10</v>
      </c>
      <c r="I26" t="s">
        <v>230</v>
      </c>
      <c r="J26">
        <v>4</v>
      </c>
      <c r="K26" t="s">
        <v>223</v>
      </c>
      <c r="L26" t="s">
        <v>223</v>
      </c>
      <c r="M26" t="s">
        <v>224</v>
      </c>
      <c r="N26">
        <v>3</v>
      </c>
      <c r="O26">
        <v>25.386309592620801</v>
      </c>
      <c r="P26">
        <v>270.85708003458302</v>
      </c>
    </row>
    <row r="27" spans="1:16">
      <c r="A27" t="s">
        <v>137</v>
      </c>
      <c r="B27" s="2" t="s">
        <v>343</v>
      </c>
      <c r="C27" s="2">
        <v>2</v>
      </c>
      <c r="D27" t="s">
        <v>252</v>
      </c>
      <c r="E27" t="s">
        <v>250</v>
      </c>
      <c r="F27" t="s">
        <v>229</v>
      </c>
      <c r="G27">
        <v>6</v>
      </c>
      <c r="H27">
        <v>10</v>
      </c>
      <c r="I27" t="s">
        <v>230</v>
      </c>
      <c r="J27">
        <v>4</v>
      </c>
      <c r="K27" t="s">
        <v>223</v>
      </c>
      <c r="L27" t="s">
        <v>223</v>
      </c>
      <c r="M27" t="s">
        <v>224</v>
      </c>
      <c r="N27">
        <v>3</v>
      </c>
      <c r="O27">
        <v>25.1730811158446</v>
      </c>
      <c r="P27">
        <v>313.89043521669203</v>
      </c>
    </row>
    <row r="28" spans="1:16">
      <c r="A28" t="s">
        <v>138</v>
      </c>
      <c r="B28" s="2" t="s">
        <v>343</v>
      </c>
      <c r="C28" s="2">
        <v>3</v>
      </c>
      <c r="D28" t="s">
        <v>252</v>
      </c>
      <c r="E28" t="s">
        <v>250</v>
      </c>
      <c r="F28" t="s">
        <v>229</v>
      </c>
      <c r="G28">
        <v>6</v>
      </c>
      <c r="H28">
        <v>10</v>
      </c>
      <c r="I28" t="s">
        <v>230</v>
      </c>
      <c r="J28">
        <v>4</v>
      </c>
      <c r="K28" t="s">
        <v>223</v>
      </c>
      <c r="L28" t="s">
        <v>223</v>
      </c>
      <c r="M28" t="s">
        <v>224</v>
      </c>
      <c r="N28">
        <v>3</v>
      </c>
      <c r="O28">
        <v>24.940216430858801</v>
      </c>
      <c r="P28">
        <v>368.73403068986198</v>
      </c>
    </row>
    <row r="29" spans="1:16">
      <c r="A29" t="s">
        <v>40</v>
      </c>
      <c r="B29" s="2" t="s">
        <v>336</v>
      </c>
      <c r="C29" s="2">
        <v>1</v>
      </c>
      <c r="D29" t="s">
        <v>231</v>
      </c>
      <c r="E29" t="s">
        <v>220</v>
      </c>
      <c r="F29" t="s">
        <v>232</v>
      </c>
      <c r="G29">
        <v>10</v>
      </c>
      <c r="H29">
        <v>14</v>
      </c>
      <c r="I29" t="s">
        <v>233</v>
      </c>
      <c r="J29">
        <v>4</v>
      </c>
      <c r="K29" t="s">
        <v>223</v>
      </c>
      <c r="L29" t="s">
        <v>223</v>
      </c>
      <c r="M29" t="s">
        <v>224</v>
      </c>
      <c r="N29">
        <v>4</v>
      </c>
      <c r="O29">
        <v>18.8818852630239</v>
      </c>
      <c r="P29">
        <v>24332.284331051502</v>
      </c>
    </row>
    <row r="30" spans="1:16">
      <c r="A30" t="s">
        <v>41</v>
      </c>
      <c r="B30" s="2" t="s">
        <v>336</v>
      </c>
      <c r="C30" s="2">
        <v>2</v>
      </c>
      <c r="D30" t="s">
        <v>231</v>
      </c>
      <c r="E30" t="s">
        <v>220</v>
      </c>
      <c r="F30" t="s">
        <v>232</v>
      </c>
      <c r="G30">
        <v>10</v>
      </c>
      <c r="H30">
        <v>14</v>
      </c>
      <c r="I30" t="s">
        <v>233</v>
      </c>
      <c r="J30">
        <v>4</v>
      </c>
      <c r="K30" t="s">
        <v>223</v>
      </c>
      <c r="L30" t="s">
        <v>223</v>
      </c>
      <c r="M30" t="s">
        <v>224</v>
      </c>
      <c r="N30">
        <v>4</v>
      </c>
      <c r="O30">
        <v>18.853006948172101</v>
      </c>
      <c r="P30">
        <v>24823.085837585</v>
      </c>
    </row>
    <row r="31" spans="1:16">
      <c r="A31" t="s">
        <v>42</v>
      </c>
      <c r="B31" s="2" t="s">
        <v>336</v>
      </c>
      <c r="C31" s="2">
        <v>3</v>
      </c>
      <c r="D31" t="s">
        <v>231</v>
      </c>
      <c r="E31" t="s">
        <v>220</v>
      </c>
      <c r="F31" t="s">
        <v>232</v>
      </c>
      <c r="G31">
        <v>10</v>
      </c>
      <c r="H31">
        <v>14</v>
      </c>
      <c r="I31" t="s">
        <v>233</v>
      </c>
      <c r="J31">
        <v>4</v>
      </c>
      <c r="K31" t="s">
        <v>223</v>
      </c>
      <c r="L31" t="s">
        <v>223</v>
      </c>
      <c r="M31" t="s">
        <v>224</v>
      </c>
      <c r="N31">
        <v>4</v>
      </c>
      <c r="O31">
        <v>20.805270153948701</v>
      </c>
      <c r="P31">
        <v>6434.90123329787</v>
      </c>
    </row>
    <row r="32" spans="1:16">
      <c r="A32" t="s">
        <v>67</v>
      </c>
      <c r="B32" s="2" t="s">
        <v>338</v>
      </c>
      <c r="C32" s="2">
        <v>4</v>
      </c>
      <c r="D32" t="s">
        <v>263</v>
      </c>
      <c r="E32" t="s">
        <v>260</v>
      </c>
      <c r="F32" t="s">
        <v>232</v>
      </c>
      <c r="G32">
        <v>10</v>
      </c>
      <c r="H32">
        <v>14</v>
      </c>
      <c r="I32" t="s">
        <v>233</v>
      </c>
      <c r="J32">
        <v>4</v>
      </c>
      <c r="K32" t="s">
        <v>223</v>
      </c>
      <c r="L32" t="s">
        <v>223</v>
      </c>
      <c r="M32" t="s">
        <v>224</v>
      </c>
      <c r="N32">
        <v>4</v>
      </c>
      <c r="O32">
        <v>17.041356857673399</v>
      </c>
      <c r="P32">
        <v>86884.036099447403</v>
      </c>
    </row>
    <row r="33" spans="1:16">
      <c r="A33" t="s">
        <v>68</v>
      </c>
      <c r="B33" s="2" t="s">
        <v>338</v>
      </c>
      <c r="C33" s="2">
        <v>5</v>
      </c>
      <c r="D33" t="s">
        <v>263</v>
      </c>
      <c r="E33" t="s">
        <v>260</v>
      </c>
      <c r="F33" t="s">
        <v>232</v>
      </c>
      <c r="G33">
        <v>10</v>
      </c>
      <c r="H33">
        <v>14</v>
      </c>
      <c r="I33" t="s">
        <v>233</v>
      </c>
      <c r="J33">
        <v>4</v>
      </c>
      <c r="K33" t="s">
        <v>223</v>
      </c>
      <c r="L33" t="s">
        <v>223</v>
      </c>
      <c r="M33" t="s">
        <v>224</v>
      </c>
      <c r="N33">
        <v>4</v>
      </c>
      <c r="O33">
        <v>17.222978318428801</v>
      </c>
      <c r="P33">
        <v>76629.233521757604</v>
      </c>
    </row>
    <row r="34" spans="1:16">
      <c r="A34" t="s">
        <v>69</v>
      </c>
      <c r="B34" s="2" t="s">
        <v>338</v>
      </c>
      <c r="C34" s="2">
        <v>6</v>
      </c>
      <c r="D34" t="s">
        <v>263</v>
      </c>
      <c r="E34" t="s">
        <v>260</v>
      </c>
      <c r="F34" t="s">
        <v>232</v>
      </c>
      <c r="G34">
        <v>10</v>
      </c>
      <c r="H34">
        <v>14</v>
      </c>
      <c r="I34" t="s">
        <v>233</v>
      </c>
      <c r="J34">
        <v>4</v>
      </c>
      <c r="K34" t="s">
        <v>223</v>
      </c>
      <c r="L34" t="s">
        <v>223</v>
      </c>
      <c r="M34" t="s">
        <v>224</v>
      </c>
      <c r="N34">
        <v>4</v>
      </c>
      <c r="O34">
        <v>17.077589610544301</v>
      </c>
      <c r="P34">
        <v>84734.130591615496</v>
      </c>
    </row>
    <row r="35" spans="1:16">
      <c r="A35" t="s">
        <v>148</v>
      </c>
      <c r="B35" s="2" t="s">
        <v>344</v>
      </c>
      <c r="C35" s="2">
        <v>1</v>
      </c>
      <c r="D35" t="s">
        <v>253</v>
      </c>
      <c r="E35" t="s">
        <v>250</v>
      </c>
      <c r="F35" t="s">
        <v>232</v>
      </c>
      <c r="G35">
        <v>10</v>
      </c>
      <c r="H35">
        <v>14</v>
      </c>
      <c r="I35" t="s">
        <v>233</v>
      </c>
      <c r="J35">
        <v>4</v>
      </c>
      <c r="K35" t="s">
        <v>223</v>
      </c>
      <c r="L35" t="s">
        <v>223</v>
      </c>
      <c r="M35" t="s">
        <v>224</v>
      </c>
      <c r="N35">
        <v>4</v>
      </c>
      <c r="O35">
        <v>17.568414029783298</v>
      </c>
      <c r="P35">
        <v>60346.407955558199</v>
      </c>
    </row>
    <row r="36" spans="1:16">
      <c r="A36" t="s">
        <v>149</v>
      </c>
      <c r="B36" s="2" t="s">
        <v>344</v>
      </c>
      <c r="C36" s="2">
        <v>2</v>
      </c>
      <c r="D36" t="s">
        <v>253</v>
      </c>
      <c r="E36" t="s">
        <v>250</v>
      </c>
      <c r="F36" t="s">
        <v>232</v>
      </c>
      <c r="G36">
        <v>10</v>
      </c>
      <c r="H36">
        <v>14</v>
      </c>
      <c r="I36" t="s">
        <v>233</v>
      </c>
      <c r="J36">
        <v>4</v>
      </c>
      <c r="K36" t="s">
        <v>223</v>
      </c>
      <c r="L36" t="s">
        <v>223</v>
      </c>
      <c r="M36" t="s">
        <v>224</v>
      </c>
      <c r="N36">
        <v>4</v>
      </c>
      <c r="O36">
        <v>17.6464199324374</v>
      </c>
      <c r="P36">
        <v>57177.384360479999</v>
      </c>
    </row>
    <row r="37" spans="1:16">
      <c r="A37" t="s">
        <v>150</v>
      </c>
      <c r="B37" s="2" t="s">
        <v>344</v>
      </c>
      <c r="C37" s="2">
        <v>3</v>
      </c>
      <c r="D37" t="s">
        <v>253</v>
      </c>
      <c r="E37" t="s">
        <v>250</v>
      </c>
      <c r="F37" t="s">
        <v>232</v>
      </c>
      <c r="G37">
        <v>10</v>
      </c>
      <c r="H37">
        <v>14</v>
      </c>
      <c r="I37" t="s">
        <v>233</v>
      </c>
      <c r="J37">
        <v>4</v>
      </c>
      <c r="K37" t="s">
        <v>223</v>
      </c>
      <c r="L37" t="s">
        <v>223</v>
      </c>
      <c r="M37" t="s">
        <v>224</v>
      </c>
      <c r="N37">
        <v>4</v>
      </c>
      <c r="O37">
        <v>18.255579506918501</v>
      </c>
      <c r="P37">
        <v>37521.336451393603</v>
      </c>
    </row>
    <row r="38" spans="1:16">
      <c r="A38" t="s">
        <v>52</v>
      </c>
      <c r="B38" s="2" t="s">
        <v>337</v>
      </c>
      <c r="C38" s="2">
        <v>1</v>
      </c>
      <c r="D38" t="s">
        <v>234</v>
      </c>
      <c r="E38" t="s">
        <v>220</v>
      </c>
      <c r="F38" t="s">
        <v>235</v>
      </c>
      <c r="G38">
        <v>14</v>
      </c>
      <c r="H38">
        <v>18</v>
      </c>
      <c r="I38" t="s">
        <v>236</v>
      </c>
      <c r="J38">
        <v>4</v>
      </c>
      <c r="K38" t="s">
        <v>223</v>
      </c>
      <c r="L38" t="s">
        <v>223</v>
      </c>
      <c r="M38" t="s">
        <v>224</v>
      </c>
      <c r="N38">
        <v>5</v>
      </c>
      <c r="O38">
        <v>18.147611604976401</v>
      </c>
      <c r="P38">
        <v>40430.0038931811</v>
      </c>
    </row>
    <row r="39" spans="1:16">
      <c r="A39" t="s">
        <v>53</v>
      </c>
      <c r="B39" s="2" t="s">
        <v>337</v>
      </c>
      <c r="C39" s="2">
        <v>2</v>
      </c>
      <c r="D39" t="s">
        <v>234</v>
      </c>
      <c r="E39" t="s">
        <v>220</v>
      </c>
      <c r="F39" t="s">
        <v>235</v>
      </c>
      <c r="G39">
        <v>14</v>
      </c>
      <c r="H39">
        <v>18</v>
      </c>
      <c r="I39" t="s">
        <v>236</v>
      </c>
      <c r="J39">
        <v>4</v>
      </c>
      <c r="K39" t="s">
        <v>223</v>
      </c>
      <c r="L39" t="s">
        <v>223</v>
      </c>
      <c r="M39" t="s">
        <v>224</v>
      </c>
      <c r="N39">
        <v>5</v>
      </c>
      <c r="O39">
        <v>18.0094977003974</v>
      </c>
      <c r="P39">
        <v>44481.853191248003</v>
      </c>
    </row>
    <row r="40" spans="1:16">
      <c r="A40" t="s">
        <v>54</v>
      </c>
      <c r="B40" s="2" t="s">
        <v>337</v>
      </c>
      <c r="C40" s="2">
        <v>3</v>
      </c>
      <c r="D40" t="s">
        <v>234</v>
      </c>
      <c r="E40" t="s">
        <v>220</v>
      </c>
      <c r="F40" t="s">
        <v>235</v>
      </c>
      <c r="G40">
        <v>14</v>
      </c>
      <c r="H40">
        <v>18</v>
      </c>
      <c r="I40" t="s">
        <v>236</v>
      </c>
      <c r="J40">
        <v>4</v>
      </c>
      <c r="K40" t="s">
        <v>223</v>
      </c>
      <c r="L40" t="s">
        <v>223</v>
      </c>
      <c r="M40" t="s">
        <v>224</v>
      </c>
      <c r="N40">
        <v>5</v>
      </c>
      <c r="O40">
        <v>18.003591890462399</v>
      </c>
      <c r="P40">
        <v>44663.889059585403</v>
      </c>
    </row>
    <row r="41" spans="1:16">
      <c r="A41" t="s">
        <v>79</v>
      </c>
      <c r="B41" s="2" t="s">
        <v>339</v>
      </c>
      <c r="C41" s="2">
        <v>4</v>
      </c>
      <c r="D41" t="s">
        <v>264</v>
      </c>
      <c r="E41" t="s">
        <v>260</v>
      </c>
      <c r="F41" t="s">
        <v>235</v>
      </c>
      <c r="G41">
        <v>14</v>
      </c>
      <c r="H41">
        <v>18</v>
      </c>
      <c r="I41" t="s">
        <v>236</v>
      </c>
      <c r="J41">
        <v>4</v>
      </c>
      <c r="K41" t="s">
        <v>223</v>
      </c>
      <c r="L41" t="s">
        <v>223</v>
      </c>
      <c r="M41" t="s">
        <v>224</v>
      </c>
      <c r="N41">
        <v>5</v>
      </c>
      <c r="O41">
        <v>17.530939134114998</v>
      </c>
      <c r="P41">
        <v>61930.713109967503</v>
      </c>
    </row>
    <row r="42" spans="1:16">
      <c r="A42" t="s">
        <v>80</v>
      </c>
      <c r="B42" s="2" t="s">
        <v>339</v>
      </c>
      <c r="C42" s="2">
        <v>5</v>
      </c>
      <c r="D42" t="s">
        <v>264</v>
      </c>
      <c r="E42" t="s">
        <v>260</v>
      </c>
      <c r="F42" t="s">
        <v>235</v>
      </c>
      <c r="G42">
        <v>14</v>
      </c>
      <c r="H42">
        <v>18</v>
      </c>
      <c r="I42" t="s">
        <v>236</v>
      </c>
      <c r="J42">
        <v>4</v>
      </c>
      <c r="K42" t="s">
        <v>223</v>
      </c>
      <c r="L42" t="s">
        <v>223</v>
      </c>
      <c r="M42" t="s">
        <v>224</v>
      </c>
      <c r="N42">
        <v>5</v>
      </c>
      <c r="O42">
        <v>17.574508756254801</v>
      </c>
      <c r="P42">
        <v>60092.6040721647</v>
      </c>
    </row>
    <row r="43" spans="1:16">
      <c r="A43" t="s">
        <v>81</v>
      </c>
      <c r="B43" s="2" t="s">
        <v>339</v>
      </c>
      <c r="C43" s="2">
        <v>6</v>
      </c>
      <c r="D43" t="s">
        <v>264</v>
      </c>
      <c r="E43" t="s">
        <v>260</v>
      </c>
      <c r="F43" t="s">
        <v>235</v>
      </c>
      <c r="G43">
        <v>14</v>
      </c>
      <c r="H43">
        <v>18</v>
      </c>
      <c r="I43" t="s">
        <v>236</v>
      </c>
      <c r="J43">
        <v>4</v>
      </c>
      <c r="K43" t="s">
        <v>223</v>
      </c>
      <c r="L43" t="s">
        <v>223</v>
      </c>
      <c r="M43" t="s">
        <v>224</v>
      </c>
      <c r="N43">
        <v>5</v>
      </c>
      <c r="O43">
        <v>17.922934164796299</v>
      </c>
      <c r="P43">
        <v>47225.882864318897</v>
      </c>
    </row>
    <row r="44" spans="1:16">
      <c r="A44" t="s">
        <v>163</v>
      </c>
      <c r="B44" s="2" t="s">
        <v>345</v>
      </c>
      <c r="C44" s="2">
        <v>1</v>
      </c>
      <c r="D44" t="s">
        <v>254</v>
      </c>
      <c r="E44" t="s">
        <v>250</v>
      </c>
      <c r="F44" t="s">
        <v>235</v>
      </c>
      <c r="G44">
        <v>14</v>
      </c>
      <c r="H44">
        <v>18</v>
      </c>
      <c r="I44" t="s">
        <v>236</v>
      </c>
      <c r="J44">
        <v>4</v>
      </c>
      <c r="K44" t="s">
        <v>223</v>
      </c>
      <c r="L44" t="s">
        <v>223</v>
      </c>
      <c r="M44" t="s">
        <v>224</v>
      </c>
      <c r="N44">
        <v>5</v>
      </c>
      <c r="O44">
        <v>17.935423615644101</v>
      </c>
      <c r="P44">
        <v>46819.760573127198</v>
      </c>
    </row>
    <row r="45" spans="1:16">
      <c r="A45" t="s">
        <v>164</v>
      </c>
      <c r="B45" s="2" t="s">
        <v>345</v>
      </c>
      <c r="C45" s="2">
        <v>2</v>
      </c>
      <c r="D45" t="s">
        <v>254</v>
      </c>
      <c r="E45" t="s">
        <v>250</v>
      </c>
      <c r="F45" t="s">
        <v>235</v>
      </c>
      <c r="G45">
        <v>14</v>
      </c>
      <c r="H45">
        <v>18</v>
      </c>
      <c r="I45" t="s">
        <v>236</v>
      </c>
      <c r="J45">
        <v>4</v>
      </c>
      <c r="K45" t="s">
        <v>223</v>
      </c>
      <c r="L45" t="s">
        <v>223</v>
      </c>
      <c r="M45" t="s">
        <v>224</v>
      </c>
      <c r="N45">
        <v>5</v>
      </c>
      <c r="O45">
        <v>18.001846381618599</v>
      </c>
      <c r="P45">
        <v>44717.833690223699</v>
      </c>
    </row>
    <row r="46" spans="1:16">
      <c r="A46" t="s">
        <v>165</v>
      </c>
      <c r="B46" s="2" t="s">
        <v>345</v>
      </c>
      <c r="C46" s="2">
        <v>3</v>
      </c>
      <c r="D46" t="s">
        <v>254</v>
      </c>
      <c r="E46" t="s">
        <v>250</v>
      </c>
      <c r="F46" t="s">
        <v>235</v>
      </c>
      <c r="G46">
        <v>14</v>
      </c>
      <c r="H46">
        <v>18</v>
      </c>
      <c r="I46" t="s">
        <v>236</v>
      </c>
      <c r="J46">
        <v>4</v>
      </c>
      <c r="K46" t="s">
        <v>223</v>
      </c>
      <c r="L46" t="s">
        <v>223</v>
      </c>
      <c r="M46" t="s">
        <v>224</v>
      </c>
      <c r="N46">
        <v>5</v>
      </c>
      <c r="O46">
        <v>17.8565270052807</v>
      </c>
      <c r="P46">
        <v>49445.165014515202</v>
      </c>
    </row>
    <row r="47" spans="1:16">
      <c r="A47" t="s">
        <v>64</v>
      </c>
      <c r="B47" s="2" t="s">
        <v>338</v>
      </c>
      <c r="C47" s="2">
        <v>1</v>
      </c>
      <c r="D47" t="s">
        <v>237</v>
      </c>
      <c r="E47" t="s">
        <v>220</v>
      </c>
      <c r="F47" t="s">
        <v>238</v>
      </c>
      <c r="G47">
        <v>18</v>
      </c>
      <c r="H47">
        <v>21</v>
      </c>
      <c r="I47" t="s">
        <v>239</v>
      </c>
      <c r="J47">
        <v>3</v>
      </c>
      <c r="K47" t="s">
        <v>223</v>
      </c>
      <c r="L47" t="s">
        <v>223</v>
      </c>
      <c r="M47" t="s">
        <v>224</v>
      </c>
      <c r="N47">
        <v>6</v>
      </c>
      <c r="O47">
        <v>18.529999700942401</v>
      </c>
      <c r="P47">
        <v>31035.803447120601</v>
      </c>
    </row>
    <row r="48" spans="1:16">
      <c r="A48" t="s">
        <v>65</v>
      </c>
      <c r="B48" s="2" t="s">
        <v>338</v>
      </c>
      <c r="C48" s="2">
        <v>2</v>
      </c>
      <c r="D48" t="s">
        <v>237</v>
      </c>
      <c r="E48" t="s">
        <v>220</v>
      </c>
      <c r="F48" t="s">
        <v>238</v>
      </c>
      <c r="G48">
        <v>18</v>
      </c>
      <c r="H48">
        <v>21</v>
      </c>
      <c r="I48" t="s">
        <v>239</v>
      </c>
      <c r="J48">
        <v>3</v>
      </c>
      <c r="K48" t="s">
        <v>223</v>
      </c>
      <c r="L48" t="s">
        <v>223</v>
      </c>
      <c r="M48" t="s">
        <v>224</v>
      </c>
      <c r="N48">
        <v>6</v>
      </c>
      <c r="O48">
        <v>18.631666452346899</v>
      </c>
      <c r="P48">
        <v>28928.765625514599</v>
      </c>
    </row>
    <row r="49" spans="1:16">
      <c r="A49" t="s">
        <v>66</v>
      </c>
      <c r="B49" s="2" t="s">
        <v>338</v>
      </c>
      <c r="C49" s="2">
        <v>3</v>
      </c>
      <c r="D49" t="s">
        <v>237</v>
      </c>
      <c r="E49" t="s">
        <v>220</v>
      </c>
      <c r="F49" t="s">
        <v>238</v>
      </c>
      <c r="G49">
        <v>18</v>
      </c>
      <c r="H49">
        <v>21</v>
      </c>
      <c r="I49" t="s">
        <v>239</v>
      </c>
      <c r="J49">
        <v>3</v>
      </c>
      <c r="K49" t="s">
        <v>223</v>
      </c>
      <c r="L49" t="s">
        <v>223</v>
      </c>
      <c r="M49" t="s">
        <v>224</v>
      </c>
      <c r="N49">
        <v>6</v>
      </c>
      <c r="O49">
        <v>18.494057269622001</v>
      </c>
      <c r="P49">
        <v>31816.8669238441</v>
      </c>
    </row>
    <row r="50" spans="1:16">
      <c r="A50" t="s">
        <v>91</v>
      </c>
      <c r="B50" s="2" t="s">
        <v>340</v>
      </c>
      <c r="C50" s="2">
        <v>4</v>
      </c>
      <c r="D50" t="s">
        <v>265</v>
      </c>
      <c r="E50" t="s">
        <v>260</v>
      </c>
      <c r="F50" t="s">
        <v>238</v>
      </c>
      <c r="G50">
        <v>18</v>
      </c>
      <c r="H50">
        <v>21</v>
      </c>
      <c r="I50" t="s">
        <v>239</v>
      </c>
      <c r="J50">
        <v>3</v>
      </c>
      <c r="K50" t="s">
        <v>223</v>
      </c>
      <c r="L50" t="s">
        <v>223</v>
      </c>
      <c r="M50" t="s">
        <v>224</v>
      </c>
      <c r="N50">
        <v>6</v>
      </c>
      <c r="O50">
        <v>17.083371675173201</v>
      </c>
      <c r="P50">
        <v>84396.002809024299</v>
      </c>
    </row>
    <row r="51" spans="1:16">
      <c r="A51" t="s">
        <v>92</v>
      </c>
      <c r="B51" s="2" t="s">
        <v>340</v>
      </c>
      <c r="C51" s="2">
        <v>5</v>
      </c>
      <c r="D51" t="s">
        <v>265</v>
      </c>
      <c r="E51" t="s">
        <v>260</v>
      </c>
      <c r="F51" t="s">
        <v>238</v>
      </c>
      <c r="G51">
        <v>18</v>
      </c>
      <c r="H51">
        <v>21</v>
      </c>
      <c r="I51" t="s">
        <v>239</v>
      </c>
      <c r="J51">
        <v>3</v>
      </c>
      <c r="K51" t="s">
        <v>223</v>
      </c>
      <c r="L51" t="s">
        <v>223</v>
      </c>
      <c r="M51" t="s">
        <v>224</v>
      </c>
      <c r="N51">
        <v>6</v>
      </c>
      <c r="O51">
        <v>17.253943937908101</v>
      </c>
      <c r="P51">
        <v>75005.778835831807</v>
      </c>
    </row>
    <row r="52" spans="1:16">
      <c r="A52" t="s">
        <v>93</v>
      </c>
      <c r="B52" s="2" t="s">
        <v>340</v>
      </c>
      <c r="C52" s="2">
        <v>6</v>
      </c>
      <c r="D52" t="s">
        <v>265</v>
      </c>
      <c r="E52" t="s">
        <v>260</v>
      </c>
      <c r="F52" t="s">
        <v>238</v>
      </c>
      <c r="G52">
        <v>18</v>
      </c>
      <c r="H52">
        <v>21</v>
      </c>
      <c r="I52" t="s">
        <v>239</v>
      </c>
      <c r="J52">
        <v>3</v>
      </c>
      <c r="K52" t="s">
        <v>223</v>
      </c>
      <c r="L52" t="s">
        <v>223</v>
      </c>
      <c r="M52" t="s">
        <v>224</v>
      </c>
      <c r="N52">
        <v>6</v>
      </c>
      <c r="O52">
        <v>17.119775027373102</v>
      </c>
      <c r="P52">
        <v>82297.952982347793</v>
      </c>
    </row>
    <row r="53" spans="1:16">
      <c r="A53" t="s">
        <v>178</v>
      </c>
      <c r="B53" s="2" t="s">
        <v>346</v>
      </c>
      <c r="C53" s="2">
        <v>1</v>
      </c>
      <c r="D53" t="s">
        <v>255</v>
      </c>
      <c r="E53" t="s">
        <v>250</v>
      </c>
      <c r="F53" t="s">
        <v>238</v>
      </c>
      <c r="G53">
        <v>18</v>
      </c>
      <c r="H53">
        <v>21</v>
      </c>
      <c r="I53" t="s">
        <v>239</v>
      </c>
      <c r="J53">
        <v>3</v>
      </c>
      <c r="K53" t="s">
        <v>223</v>
      </c>
      <c r="L53" t="s">
        <v>223</v>
      </c>
      <c r="M53" t="s">
        <v>224</v>
      </c>
      <c r="N53">
        <v>6</v>
      </c>
      <c r="O53">
        <v>17.1508902070271</v>
      </c>
      <c r="P53">
        <v>80546.0708440335</v>
      </c>
    </row>
    <row r="54" spans="1:16">
      <c r="A54" t="s">
        <v>179</v>
      </c>
      <c r="B54" s="2" t="s">
        <v>346</v>
      </c>
      <c r="C54" s="2">
        <v>2</v>
      </c>
      <c r="D54" t="s">
        <v>255</v>
      </c>
      <c r="E54" t="s">
        <v>250</v>
      </c>
      <c r="F54" t="s">
        <v>238</v>
      </c>
      <c r="G54">
        <v>18</v>
      </c>
      <c r="H54">
        <v>21</v>
      </c>
      <c r="I54" t="s">
        <v>239</v>
      </c>
      <c r="J54">
        <v>3</v>
      </c>
      <c r="K54" t="s">
        <v>223</v>
      </c>
      <c r="L54" t="s">
        <v>223</v>
      </c>
      <c r="M54" t="s">
        <v>224</v>
      </c>
      <c r="N54">
        <v>6</v>
      </c>
      <c r="O54">
        <v>17.074650798340102</v>
      </c>
      <c r="P54">
        <v>84906.507498914507</v>
      </c>
    </row>
    <row r="55" spans="1:16">
      <c r="A55" t="s">
        <v>180</v>
      </c>
      <c r="B55" s="2" t="s">
        <v>346</v>
      </c>
      <c r="C55" s="2">
        <v>3</v>
      </c>
      <c r="D55" t="s">
        <v>255</v>
      </c>
      <c r="E55" t="s">
        <v>250</v>
      </c>
      <c r="F55" t="s">
        <v>238</v>
      </c>
      <c r="G55">
        <v>18</v>
      </c>
      <c r="H55">
        <v>21</v>
      </c>
      <c r="I55" t="s">
        <v>239</v>
      </c>
      <c r="J55">
        <v>3</v>
      </c>
      <c r="K55" t="s">
        <v>223</v>
      </c>
      <c r="L55" t="s">
        <v>223</v>
      </c>
      <c r="M55" t="s">
        <v>224</v>
      </c>
      <c r="N55">
        <v>6</v>
      </c>
      <c r="O55">
        <v>17.065954638137399</v>
      </c>
      <c r="P55">
        <v>85418.640190046397</v>
      </c>
    </row>
    <row r="56" spans="1:16">
      <c r="A56" t="s">
        <v>76</v>
      </c>
      <c r="B56" s="2" t="s">
        <v>339</v>
      </c>
      <c r="C56" s="2">
        <v>1</v>
      </c>
      <c r="D56" t="s">
        <v>240</v>
      </c>
      <c r="E56" t="s">
        <v>220</v>
      </c>
      <c r="F56" t="s">
        <v>241</v>
      </c>
      <c r="G56">
        <v>21</v>
      </c>
      <c r="H56">
        <v>23</v>
      </c>
      <c r="I56" t="s">
        <v>242</v>
      </c>
      <c r="J56">
        <v>2</v>
      </c>
      <c r="K56" t="s">
        <v>223</v>
      </c>
      <c r="L56" t="s">
        <v>223</v>
      </c>
      <c r="M56" t="s">
        <v>224</v>
      </c>
      <c r="N56">
        <v>7</v>
      </c>
      <c r="O56">
        <v>17.328713800770402</v>
      </c>
      <c r="P56">
        <v>71226.146594382299</v>
      </c>
    </row>
    <row r="57" spans="1:16">
      <c r="A57" t="s">
        <v>77</v>
      </c>
      <c r="B57" s="2" t="s">
        <v>339</v>
      </c>
      <c r="C57" s="2">
        <v>2</v>
      </c>
      <c r="D57" t="s">
        <v>240</v>
      </c>
      <c r="E57" t="s">
        <v>220</v>
      </c>
      <c r="F57" t="s">
        <v>241</v>
      </c>
      <c r="G57">
        <v>21</v>
      </c>
      <c r="H57">
        <v>23</v>
      </c>
      <c r="I57" t="s">
        <v>242</v>
      </c>
      <c r="J57">
        <v>2</v>
      </c>
      <c r="K57" t="s">
        <v>223</v>
      </c>
      <c r="L57" t="s">
        <v>223</v>
      </c>
      <c r="M57" t="s">
        <v>224</v>
      </c>
      <c r="N57">
        <v>7</v>
      </c>
      <c r="O57">
        <v>17.215868520862699</v>
      </c>
      <c r="P57">
        <v>77006.916383254094</v>
      </c>
    </row>
    <row r="58" spans="1:16">
      <c r="A58" t="s">
        <v>78</v>
      </c>
      <c r="B58" s="2" t="s">
        <v>339</v>
      </c>
      <c r="C58" s="2">
        <v>3</v>
      </c>
      <c r="D58" t="s">
        <v>240</v>
      </c>
      <c r="E58" t="s">
        <v>220</v>
      </c>
      <c r="F58" t="s">
        <v>241</v>
      </c>
      <c r="G58">
        <v>21</v>
      </c>
      <c r="H58">
        <v>23</v>
      </c>
      <c r="I58" t="s">
        <v>242</v>
      </c>
      <c r="J58">
        <v>2</v>
      </c>
      <c r="K58" t="s">
        <v>223</v>
      </c>
      <c r="L58" t="s">
        <v>223</v>
      </c>
      <c r="M58" t="s">
        <v>224</v>
      </c>
      <c r="N58">
        <v>7</v>
      </c>
      <c r="O58">
        <v>17.217150246969499</v>
      </c>
      <c r="P58">
        <v>76938.6919387987</v>
      </c>
    </row>
    <row r="59" spans="1:16">
      <c r="A59" t="s">
        <v>103</v>
      </c>
      <c r="B59" s="2" t="s">
        <v>238</v>
      </c>
      <c r="C59" s="2">
        <v>4</v>
      </c>
      <c r="D59" t="s">
        <v>266</v>
      </c>
      <c r="E59" t="s">
        <v>260</v>
      </c>
      <c r="F59" t="s">
        <v>241</v>
      </c>
      <c r="G59">
        <v>21</v>
      </c>
      <c r="H59">
        <v>23</v>
      </c>
      <c r="I59" t="s">
        <v>242</v>
      </c>
      <c r="J59">
        <v>2</v>
      </c>
      <c r="K59" t="s">
        <v>223</v>
      </c>
      <c r="L59" t="s">
        <v>223</v>
      </c>
      <c r="M59" t="s">
        <v>224</v>
      </c>
      <c r="N59">
        <v>7</v>
      </c>
      <c r="O59">
        <v>17.174916128474099</v>
      </c>
      <c r="P59">
        <v>79218.893038932802</v>
      </c>
    </row>
    <row r="60" spans="1:16">
      <c r="A60" t="s">
        <v>104</v>
      </c>
      <c r="B60" s="2" t="s">
        <v>238</v>
      </c>
      <c r="C60" s="2">
        <v>5</v>
      </c>
      <c r="D60" t="s">
        <v>266</v>
      </c>
      <c r="E60" t="s">
        <v>260</v>
      </c>
      <c r="F60" t="s">
        <v>241</v>
      </c>
      <c r="G60">
        <v>21</v>
      </c>
      <c r="H60">
        <v>23</v>
      </c>
      <c r="I60" t="s">
        <v>242</v>
      </c>
      <c r="J60">
        <v>2</v>
      </c>
      <c r="K60" t="s">
        <v>223</v>
      </c>
      <c r="L60" t="s">
        <v>223</v>
      </c>
      <c r="M60" t="s">
        <v>224</v>
      </c>
      <c r="N60">
        <v>7</v>
      </c>
      <c r="O60">
        <v>17.104012446574199</v>
      </c>
      <c r="P60">
        <v>83199.924776420507</v>
      </c>
    </row>
    <row r="61" spans="1:16">
      <c r="A61" t="s">
        <v>105</v>
      </c>
      <c r="B61" s="2" t="s">
        <v>238</v>
      </c>
      <c r="C61" s="2">
        <v>6</v>
      </c>
      <c r="D61" t="s">
        <v>266</v>
      </c>
      <c r="E61" t="s">
        <v>260</v>
      </c>
      <c r="F61" t="s">
        <v>241</v>
      </c>
      <c r="G61">
        <v>21</v>
      </c>
      <c r="H61">
        <v>23</v>
      </c>
      <c r="I61" t="s">
        <v>242</v>
      </c>
      <c r="J61">
        <v>2</v>
      </c>
      <c r="K61" t="s">
        <v>223</v>
      </c>
      <c r="L61" t="s">
        <v>223</v>
      </c>
      <c r="M61" t="s">
        <v>224</v>
      </c>
      <c r="N61">
        <v>7</v>
      </c>
      <c r="O61">
        <v>17.0640087604285</v>
      </c>
      <c r="P61">
        <v>85533.6587497484</v>
      </c>
    </row>
    <row r="62" spans="1:16">
      <c r="A62" t="s">
        <v>193</v>
      </c>
      <c r="B62" s="2" t="s">
        <v>347</v>
      </c>
      <c r="C62" s="2">
        <v>1</v>
      </c>
      <c r="D62" t="s">
        <v>256</v>
      </c>
      <c r="E62" t="s">
        <v>250</v>
      </c>
      <c r="F62" t="s">
        <v>241</v>
      </c>
      <c r="G62">
        <v>21</v>
      </c>
      <c r="H62">
        <v>23</v>
      </c>
      <c r="I62" t="s">
        <v>242</v>
      </c>
      <c r="J62">
        <v>2</v>
      </c>
      <c r="K62" t="s">
        <v>223</v>
      </c>
      <c r="L62" t="s">
        <v>223</v>
      </c>
      <c r="M62" t="s">
        <v>224</v>
      </c>
      <c r="N62">
        <v>7</v>
      </c>
      <c r="O62">
        <v>17.166016051823799</v>
      </c>
      <c r="P62">
        <v>79707.958686115395</v>
      </c>
    </row>
    <row r="63" spans="1:16">
      <c r="A63" t="s">
        <v>194</v>
      </c>
      <c r="B63" s="2" t="s">
        <v>347</v>
      </c>
      <c r="C63" s="2">
        <v>2</v>
      </c>
      <c r="D63" t="s">
        <v>256</v>
      </c>
      <c r="E63" t="s">
        <v>250</v>
      </c>
      <c r="F63" t="s">
        <v>241</v>
      </c>
      <c r="G63">
        <v>21</v>
      </c>
      <c r="H63">
        <v>23</v>
      </c>
      <c r="I63" t="s">
        <v>242</v>
      </c>
      <c r="J63">
        <v>2</v>
      </c>
      <c r="K63" t="s">
        <v>223</v>
      </c>
      <c r="L63" t="s">
        <v>223</v>
      </c>
      <c r="M63" t="s">
        <v>224</v>
      </c>
      <c r="N63">
        <v>7</v>
      </c>
      <c r="O63">
        <v>17.093316698409001</v>
      </c>
      <c r="P63">
        <v>83817.583659064097</v>
      </c>
    </row>
    <row r="64" spans="1:16">
      <c r="A64" t="s">
        <v>195</v>
      </c>
      <c r="B64" s="2" t="s">
        <v>347</v>
      </c>
      <c r="C64" s="2">
        <v>3</v>
      </c>
      <c r="D64" t="s">
        <v>256</v>
      </c>
      <c r="E64" t="s">
        <v>250</v>
      </c>
      <c r="F64" t="s">
        <v>241</v>
      </c>
      <c r="G64">
        <v>21</v>
      </c>
      <c r="H64">
        <v>23</v>
      </c>
      <c r="I64" t="s">
        <v>242</v>
      </c>
      <c r="J64">
        <v>2</v>
      </c>
      <c r="K64" t="s">
        <v>223</v>
      </c>
      <c r="L64" t="s">
        <v>223</v>
      </c>
      <c r="M64" t="s">
        <v>224</v>
      </c>
      <c r="N64">
        <v>7</v>
      </c>
      <c r="O64">
        <v>17.091081190493501</v>
      </c>
      <c r="P64">
        <v>83947.258158170705</v>
      </c>
    </row>
    <row r="65" spans="1:16">
      <c r="A65" t="s">
        <v>6</v>
      </c>
      <c r="B65" s="2" t="s">
        <v>334</v>
      </c>
      <c r="C65" s="2">
        <v>4</v>
      </c>
      <c r="D65" t="s">
        <v>257</v>
      </c>
      <c r="E65" t="s">
        <v>250</v>
      </c>
      <c r="F65" t="s">
        <v>244</v>
      </c>
      <c r="G65">
        <v>23</v>
      </c>
      <c r="H65">
        <v>25</v>
      </c>
      <c r="I65" t="s">
        <v>245</v>
      </c>
      <c r="J65">
        <v>2</v>
      </c>
      <c r="K65" t="s">
        <v>223</v>
      </c>
      <c r="L65" t="s">
        <v>223</v>
      </c>
      <c r="M65" t="s">
        <v>224</v>
      </c>
      <c r="N65">
        <v>8</v>
      </c>
      <c r="O65">
        <v>16.442685371225298</v>
      </c>
      <c r="P65">
        <v>131442.598263227</v>
      </c>
    </row>
    <row r="66" spans="1:16">
      <c r="A66" t="s">
        <v>7</v>
      </c>
      <c r="B66" s="2" t="s">
        <v>334</v>
      </c>
      <c r="C66" s="2">
        <v>5</v>
      </c>
      <c r="D66" t="s">
        <v>257</v>
      </c>
      <c r="E66" t="s">
        <v>250</v>
      </c>
      <c r="F66" t="s">
        <v>244</v>
      </c>
      <c r="G66">
        <v>23</v>
      </c>
      <c r="H66">
        <v>25</v>
      </c>
      <c r="I66" t="s">
        <v>245</v>
      </c>
      <c r="J66">
        <v>2</v>
      </c>
      <c r="K66" t="s">
        <v>223</v>
      </c>
      <c r="L66" t="s">
        <v>223</v>
      </c>
      <c r="M66" t="s">
        <v>224</v>
      </c>
      <c r="N66">
        <v>8</v>
      </c>
      <c r="O66">
        <v>16.1859246771245</v>
      </c>
      <c r="P66">
        <v>156981.27358194199</v>
      </c>
    </row>
    <row r="67" spans="1:16">
      <c r="A67" t="s">
        <v>8</v>
      </c>
      <c r="B67" s="2" t="s">
        <v>334</v>
      </c>
      <c r="C67" s="2">
        <v>6</v>
      </c>
      <c r="D67" t="s">
        <v>257</v>
      </c>
      <c r="E67" t="s">
        <v>250</v>
      </c>
      <c r="F67" t="s">
        <v>244</v>
      </c>
      <c r="G67">
        <v>23</v>
      </c>
      <c r="H67">
        <v>25</v>
      </c>
      <c r="I67" t="s">
        <v>245</v>
      </c>
      <c r="J67">
        <v>2</v>
      </c>
      <c r="K67" t="s">
        <v>223</v>
      </c>
      <c r="L67" t="s">
        <v>223</v>
      </c>
      <c r="M67" t="s">
        <v>224</v>
      </c>
      <c r="N67">
        <v>8</v>
      </c>
      <c r="O67">
        <v>16.200793283653098</v>
      </c>
      <c r="P67">
        <v>155375.461138882</v>
      </c>
    </row>
    <row r="68" spans="1:16">
      <c r="A68" t="s">
        <v>88</v>
      </c>
      <c r="B68" s="2" t="s">
        <v>340</v>
      </c>
      <c r="C68" s="2">
        <v>1</v>
      </c>
      <c r="D68" t="s">
        <v>243</v>
      </c>
      <c r="E68" t="s">
        <v>220</v>
      </c>
      <c r="F68" t="s">
        <v>244</v>
      </c>
      <c r="G68">
        <v>23</v>
      </c>
      <c r="H68">
        <v>25</v>
      </c>
      <c r="I68" t="s">
        <v>245</v>
      </c>
      <c r="J68">
        <v>2</v>
      </c>
      <c r="K68" t="s">
        <v>223</v>
      </c>
      <c r="L68" t="s">
        <v>223</v>
      </c>
      <c r="M68" t="s">
        <v>224</v>
      </c>
      <c r="N68">
        <v>8</v>
      </c>
      <c r="O68">
        <v>14.8887513931241</v>
      </c>
      <c r="P68">
        <v>384965.40615088301</v>
      </c>
    </row>
    <row r="69" spans="1:16">
      <c r="A69" t="s">
        <v>89</v>
      </c>
      <c r="B69" s="2" t="s">
        <v>340</v>
      </c>
      <c r="C69" s="2">
        <v>2</v>
      </c>
      <c r="D69" t="s">
        <v>243</v>
      </c>
      <c r="E69" t="s">
        <v>220</v>
      </c>
      <c r="F69" t="s">
        <v>244</v>
      </c>
      <c r="G69">
        <v>23</v>
      </c>
      <c r="H69">
        <v>25</v>
      </c>
      <c r="I69" t="s">
        <v>245</v>
      </c>
      <c r="J69">
        <v>2</v>
      </c>
      <c r="K69" t="s">
        <v>223</v>
      </c>
      <c r="L69" t="s">
        <v>223</v>
      </c>
      <c r="M69" t="s">
        <v>224</v>
      </c>
      <c r="N69">
        <v>8</v>
      </c>
      <c r="O69">
        <v>14.4628027663508</v>
      </c>
      <c r="P69">
        <v>516826.55634667299</v>
      </c>
    </row>
    <row r="70" spans="1:16">
      <c r="A70" t="s">
        <v>90</v>
      </c>
      <c r="B70" s="2" t="s">
        <v>340</v>
      </c>
      <c r="C70" s="2">
        <v>3</v>
      </c>
      <c r="D70" t="s">
        <v>243</v>
      </c>
      <c r="E70" t="s">
        <v>220</v>
      </c>
      <c r="F70" t="s">
        <v>244</v>
      </c>
      <c r="G70">
        <v>23</v>
      </c>
      <c r="H70">
        <v>25</v>
      </c>
      <c r="I70" t="s">
        <v>245</v>
      </c>
      <c r="J70">
        <v>2</v>
      </c>
      <c r="K70" t="s">
        <v>223</v>
      </c>
      <c r="L70" t="s">
        <v>223</v>
      </c>
      <c r="M70" t="s">
        <v>224</v>
      </c>
      <c r="N70">
        <v>8</v>
      </c>
      <c r="O70">
        <v>15.332696709794099</v>
      </c>
      <c r="P70">
        <v>283200.31243662903</v>
      </c>
    </row>
    <row r="71" spans="1:16">
      <c r="A71" t="s">
        <v>115</v>
      </c>
      <c r="B71" s="2" t="s">
        <v>341</v>
      </c>
      <c r="C71" s="2">
        <v>4</v>
      </c>
      <c r="D71" t="s">
        <v>267</v>
      </c>
      <c r="E71" t="s">
        <v>260</v>
      </c>
      <c r="F71" t="s">
        <v>244</v>
      </c>
      <c r="G71">
        <v>23</v>
      </c>
      <c r="H71">
        <v>25</v>
      </c>
      <c r="I71" t="s">
        <v>245</v>
      </c>
      <c r="J71">
        <v>2</v>
      </c>
      <c r="K71" t="s">
        <v>223</v>
      </c>
      <c r="L71" t="s">
        <v>223</v>
      </c>
      <c r="M71" t="s">
        <v>224</v>
      </c>
      <c r="N71">
        <v>8</v>
      </c>
      <c r="O71">
        <v>16.549468556457999</v>
      </c>
      <c r="P71">
        <v>122086.16488154999</v>
      </c>
    </row>
    <row r="72" spans="1:16">
      <c r="A72" t="s">
        <v>116</v>
      </c>
      <c r="B72" s="2" t="s">
        <v>341</v>
      </c>
      <c r="C72" s="2">
        <v>5</v>
      </c>
      <c r="D72" t="s">
        <v>267</v>
      </c>
      <c r="E72" t="s">
        <v>260</v>
      </c>
      <c r="F72" t="s">
        <v>244</v>
      </c>
      <c r="G72">
        <v>23</v>
      </c>
      <c r="H72">
        <v>25</v>
      </c>
      <c r="I72" t="s">
        <v>245</v>
      </c>
      <c r="J72">
        <v>2</v>
      </c>
      <c r="K72" t="s">
        <v>223</v>
      </c>
      <c r="L72" t="s">
        <v>223</v>
      </c>
      <c r="M72" t="s">
        <v>224</v>
      </c>
      <c r="N72">
        <v>8</v>
      </c>
      <c r="O72">
        <v>16.646192141753701</v>
      </c>
      <c r="P72">
        <v>114187.33022792</v>
      </c>
    </row>
    <row r="73" spans="1:16">
      <c r="A73" t="s">
        <v>117</v>
      </c>
      <c r="B73" s="2" t="s">
        <v>341</v>
      </c>
      <c r="C73" s="2">
        <v>6</v>
      </c>
      <c r="D73" t="s">
        <v>267</v>
      </c>
      <c r="E73" t="s">
        <v>260</v>
      </c>
      <c r="F73" t="s">
        <v>244</v>
      </c>
      <c r="G73">
        <v>23</v>
      </c>
      <c r="H73">
        <v>25</v>
      </c>
      <c r="I73" t="s">
        <v>245</v>
      </c>
      <c r="J73">
        <v>2</v>
      </c>
      <c r="K73" t="s">
        <v>223</v>
      </c>
      <c r="L73" t="s">
        <v>223</v>
      </c>
      <c r="M73" t="s">
        <v>224</v>
      </c>
      <c r="N73">
        <v>8</v>
      </c>
      <c r="O73">
        <v>16.666161834099899</v>
      </c>
      <c r="P73">
        <v>112621.294952272</v>
      </c>
    </row>
    <row r="74" spans="1:16">
      <c r="A74" t="s">
        <v>19</v>
      </c>
      <c r="B74" s="2" t="s">
        <v>322</v>
      </c>
      <c r="C74" s="2">
        <v>4</v>
      </c>
      <c r="D74" t="s">
        <v>258</v>
      </c>
      <c r="E74" t="s">
        <v>250</v>
      </c>
      <c r="F74" t="s">
        <v>247</v>
      </c>
      <c r="G74">
        <v>25</v>
      </c>
      <c r="H74">
        <v>27</v>
      </c>
      <c r="I74" t="s">
        <v>248</v>
      </c>
      <c r="J74">
        <v>2</v>
      </c>
      <c r="K74" t="s">
        <v>223</v>
      </c>
      <c r="L74" t="s">
        <v>223</v>
      </c>
      <c r="M74" t="s">
        <v>224</v>
      </c>
      <c r="N74">
        <v>9</v>
      </c>
      <c r="O74">
        <v>16.4914969420098</v>
      </c>
      <c r="P74">
        <v>127079.878061016</v>
      </c>
    </row>
    <row r="75" spans="1:16">
      <c r="A75" t="s">
        <v>20</v>
      </c>
      <c r="B75" s="2" t="s">
        <v>322</v>
      </c>
      <c r="C75" s="2">
        <v>5</v>
      </c>
      <c r="D75" t="s">
        <v>258</v>
      </c>
      <c r="E75" t="s">
        <v>250</v>
      </c>
      <c r="F75" t="s">
        <v>247</v>
      </c>
      <c r="G75">
        <v>25</v>
      </c>
      <c r="H75">
        <v>27</v>
      </c>
      <c r="I75" t="s">
        <v>248</v>
      </c>
      <c r="J75">
        <v>2</v>
      </c>
      <c r="K75" t="s">
        <v>223</v>
      </c>
      <c r="L75" t="s">
        <v>223</v>
      </c>
      <c r="M75" t="s">
        <v>224</v>
      </c>
      <c r="N75">
        <v>9</v>
      </c>
      <c r="O75">
        <v>16.748471095328501</v>
      </c>
      <c r="P75">
        <v>106390.039321359</v>
      </c>
    </row>
    <row r="76" spans="1:16">
      <c r="A76" t="s">
        <v>21</v>
      </c>
      <c r="B76" s="2" t="s">
        <v>322</v>
      </c>
      <c r="C76" s="2">
        <v>6</v>
      </c>
      <c r="D76" t="s">
        <v>258</v>
      </c>
      <c r="E76" t="s">
        <v>250</v>
      </c>
      <c r="F76" t="s">
        <v>247</v>
      </c>
      <c r="G76">
        <v>25</v>
      </c>
      <c r="H76">
        <v>27</v>
      </c>
      <c r="I76" t="s">
        <v>248</v>
      </c>
      <c r="J76">
        <v>2</v>
      </c>
      <c r="K76" t="s">
        <v>223</v>
      </c>
      <c r="L76" t="s">
        <v>223</v>
      </c>
      <c r="M76" t="s">
        <v>224</v>
      </c>
      <c r="N76">
        <v>9</v>
      </c>
      <c r="O76">
        <v>16.644537135767202</v>
      </c>
      <c r="P76">
        <v>114318.089811666</v>
      </c>
    </row>
    <row r="77" spans="1:16">
      <c r="A77" t="s">
        <v>100</v>
      </c>
      <c r="B77" s="2" t="s">
        <v>238</v>
      </c>
      <c r="C77" s="2">
        <v>1</v>
      </c>
      <c r="D77" t="s">
        <v>246</v>
      </c>
      <c r="E77" t="s">
        <v>220</v>
      </c>
      <c r="F77" t="s">
        <v>247</v>
      </c>
      <c r="G77">
        <v>25</v>
      </c>
      <c r="H77">
        <v>27</v>
      </c>
      <c r="I77" t="s">
        <v>248</v>
      </c>
      <c r="J77">
        <v>2</v>
      </c>
      <c r="K77" t="s">
        <v>223</v>
      </c>
      <c r="L77" t="s">
        <v>223</v>
      </c>
      <c r="M77" t="s">
        <v>224</v>
      </c>
      <c r="N77">
        <v>9</v>
      </c>
      <c r="O77">
        <v>16.3537499218927</v>
      </c>
      <c r="P77">
        <v>139780.21174665101</v>
      </c>
    </row>
    <row r="78" spans="1:16">
      <c r="A78" t="s">
        <v>101</v>
      </c>
      <c r="B78" s="2" t="s">
        <v>238</v>
      </c>
      <c r="C78" s="2">
        <v>2</v>
      </c>
      <c r="D78" t="s">
        <v>246</v>
      </c>
      <c r="E78" t="s">
        <v>220</v>
      </c>
      <c r="F78" t="s">
        <v>247</v>
      </c>
      <c r="G78">
        <v>25</v>
      </c>
      <c r="H78">
        <v>27</v>
      </c>
      <c r="I78" t="s">
        <v>248</v>
      </c>
      <c r="J78">
        <v>2</v>
      </c>
      <c r="K78" t="s">
        <v>223</v>
      </c>
      <c r="L78" t="s">
        <v>223</v>
      </c>
      <c r="M78" t="s">
        <v>224</v>
      </c>
      <c r="N78">
        <v>9</v>
      </c>
      <c r="O78">
        <v>16.208907101251601</v>
      </c>
      <c r="P78">
        <v>154506.105758563</v>
      </c>
    </row>
    <row r="79" spans="1:16">
      <c r="A79" t="s">
        <v>102</v>
      </c>
      <c r="B79" s="2" t="s">
        <v>238</v>
      </c>
      <c r="C79" s="2">
        <v>3</v>
      </c>
      <c r="D79" t="s">
        <v>246</v>
      </c>
      <c r="E79" t="s">
        <v>220</v>
      </c>
      <c r="F79" t="s">
        <v>247</v>
      </c>
      <c r="G79">
        <v>25</v>
      </c>
      <c r="H79">
        <v>27</v>
      </c>
      <c r="I79" t="s">
        <v>248</v>
      </c>
      <c r="J79">
        <v>2</v>
      </c>
      <c r="K79" t="s">
        <v>223</v>
      </c>
      <c r="L79" t="s">
        <v>223</v>
      </c>
      <c r="M79" t="s">
        <v>224</v>
      </c>
      <c r="N79">
        <v>9</v>
      </c>
      <c r="O79">
        <v>16.301695927202601</v>
      </c>
      <c r="P79">
        <v>144903.48200628199</v>
      </c>
    </row>
    <row r="80" spans="1:16">
      <c r="A80" t="s">
        <v>127</v>
      </c>
      <c r="B80" s="2" t="s">
        <v>342</v>
      </c>
      <c r="C80" s="2">
        <v>4</v>
      </c>
      <c r="D80" t="s">
        <v>268</v>
      </c>
      <c r="E80" t="s">
        <v>260</v>
      </c>
      <c r="F80" t="s">
        <v>247</v>
      </c>
      <c r="G80">
        <v>25</v>
      </c>
      <c r="H80">
        <v>27</v>
      </c>
      <c r="I80" t="s">
        <v>248</v>
      </c>
      <c r="J80">
        <v>2</v>
      </c>
      <c r="K80" t="s">
        <v>223</v>
      </c>
      <c r="L80" t="s">
        <v>223</v>
      </c>
      <c r="M80" t="s">
        <v>224</v>
      </c>
      <c r="N80">
        <v>9</v>
      </c>
      <c r="O80">
        <v>16.373731581890201</v>
      </c>
      <c r="P80">
        <v>137862.03901311601</v>
      </c>
    </row>
    <row r="81" spans="1:16">
      <c r="A81" t="s">
        <v>128</v>
      </c>
      <c r="B81" s="2" t="s">
        <v>342</v>
      </c>
      <c r="C81" s="2">
        <v>5</v>
      </c>
      <c r="D81" t="s">
        <v>268</v>
      </c>
      <c r="E81" t="s">
        <v>260</v>
      </c>
      <c r="F81" t="s">
        <v>247</v>
      </c>
      <c r="G81">
        <v>25</v>
      </c>
      <c r="H81">
        <v>27</v>
      </c>
      <c r="I81" t="s">
        <v>248</v>
      </c>
      <c r="J81">
        <v>2</v>
      </c>
      <c r="K81" t="s">
        <v>223</v>
      </c>
      <c r="L81" t="s">
        <v>223</v>
      </c>
      <c r="M81" t="s">
        <v>224</v>
      </c>
      <c r="N81">
        <v>9</v>
      </c>
      <c r="O81">
        <v>16.350256379834601</v>
      </c>
      <c r="P81">
        <v>140118.31073609399</v>
      </c>
    </row>
    <row r="82" spans="1:16">
      <c r="A82" t="s">
        <v>129</v>
      </c>
      <c r="B82" s="2" t="s">
        <v>342</v>
      </c>
      <c r="C82" s="2">
        <v>6</v>
      </c>
      <c r="D82" t="s">
        <v>268</v>
      </c>
      <c r="E82" t="s">
        <v>260</v>
      </c>
      <c r="F82" t="s">
        <v>247</v>
      </c>
      <c r="G82">
        <v>25</v>
      </c>
      <c r="H82">
        <v>27</v>
      </c>
      <c r="I82" t="s">
        <v>248</v>
      </c>
      <c r="J82">
        <v>2</v>
      </c>
      <c r="K82" t="s">
        <v>223</v>
      </c>
      <c r="L82" t="s">
        <v>223</v>
      </c>
      <c r="M82" t="s">
        <v>224</v>
      </c>
      <c r="N82">
        <v>9</v>
      </c>
      <c r="O82">
        <v>16.3143943487703</v>
      </c>
      <c r="P82">
        <v>143636.61616212499</v>
      </c>
    </row>
    <row r="83" spans="1:16">
      <c r="A83" t="s">
        <v>58</v>
      </c>
      <c r="B83" s="2" t="s">
        <v>337</v>
      </c>
      <c r="C83" s="2">
        <v>7</v>
      </c>
      <c r="D83" t="s">
        <v>295</v>
      </c>
      <c r="E83" t="s">
        <v>296</v>
      </c>
      <c r="F83" t="s">
        <v>271</v>
      </c>
      <c r="G83">
        <v>0</v>
      </c>
      <c r="H83">
        <v>2</v>
      </c>
      <c r="I83" t="s">
        <v>222</v>
      </c>
      <c r="J83">
        <v>2</v>
      </c>
      <c r="K83" t="s">
        <v>223</v>
      </c>
      <c r="L83" t="s">
        <v>223</v>
      </c>
      <c r="M83" t="s">
        <v>272</v>
      </c>
      <c r="N83">
        <v>1</v>
      </c>
      <c r="O83">
        <v>25.8425384771745</v>
      </c>
      <c r="P83">
        <v>197.57097839979801</v>
      </c>
    </row>
    <row r="84" spans="1:16">
      <c r="A84" t="s">
        <v>59</v>
      </c>
      <c r="B84" s="2" t="s">
        <v>337</v>
      </c>
      <c r="C84" s="2">
        <v>8</v>
      </c>
      <c r="D84" t="s">
        <v>295</v>
      </c>
      <c r="E84" t="s">
        <v>296</v>
      </c>
      <c r="F84" t="s">
        <v>271</v>
      </c>
      <c r="G84">
        <v>0</v>
      </c>
      <c r="H84">
        <v>2</v>
      </c>
      <c r="I84" t="s">
        <v>222</v>
      </c>
      <c r="J84">
        <v>2</v>
      </c>
      <c r="K84" t="s">
        <v>223</v>
      </c>
      <c r="L84" t="s">
        <v>223</v>
      </c>
      <c r="M84" t="s">
        <v>272</v>
      </c>
      <c r="N84">
        <v>1</v>
      </c>
      <c r="O84">
        <v>25.628526723238402</v>
      </c>
      <c r="P84">
        <v>229.08480215726601</v>
      </c>
    </row>
    <row r="85" spans="1:16">
      <c r="A85" t="s">
        <v>60</v>
      </c>
      <c r="B85" s="2" t="s">
        <v>337</v>
      </c>
      <c r="C85" s="2">
        <v>9</v>
      </c>
      <c r="D85" t="s">
        <v>295</v>
      </c>
      <c r="E85" t="s">
        <v>296</v>
      </c>
      <c r="F85" t="s">
        <v>271</v>
      </c>
      <c r="G85">
        <v>0</v>
      </c>
      <c r="H85">
        <v>2</v>
      </c>
      <c r="I85" t="s">
        <v>222</v>
      </c>
      <c r="J85">
        <v>2</v>
      </c>
      <c r="K85" t="s">
        <v>223</v>
      </c>
      <c r="L85" t="s">
        <v>223</v>
      </c>
      <c r="M85" t="s">
        <v>272</v>
      </c>
      <c r="N85">
        <v>1</v>
      </c>
      <c r="O85">
        <v>25.6471598255015</v>
      </c>
      <c r="P85">
        <v>226.15192446294799</v>
      </c>
    </row>
    <row r="86" spans="1:16">
      <c r="A86" t="s">
        <v>139</v>
      </c>
      <c r="B86" s="2" t="s">
        <v>343</v>
      </c>
      <c r="C86" s="2">
        <v>4</v>
      </c>
      <c r="D86" t="s">
        <v>269</v>
      </c>
      <c r="E86" t="s">
        <v>270</v>
      </c>
      <c r="F86" t="s">
        <v>271</v>
      </c>
      <c r="G86">
        <v>0</v>
      </c>
      <c r="H86">
        <v>2</v>
      </c>
      <c r="I86" t="s">
        <v>222</v>
      </c>
      <c r="J86">
        <v>2</v>
      </c>
      <c r="K86" t="s">
        <v>223</v>
      </c>
      <c r="L86" t="s">
        <v>223</v>
      </c>
      <c r="M86" t="s">
        <v>272</v>
      </c>
      <c r="N86">
        <v>1</v>
      </c>
      <c r="O86">
        <v>28.296660325935399</v>
      </c>
      <c r="P86">
        <v>36.198323574545299</v>
      </c>
    </row>
    <row r="87" spans="1:16">
      <c r="A87" t="s">
        <v>140</v>
      </c>
      <c r="B87" s="2" t="s">
        <v>343</v>
      </c>
      <c r="C87" s="2">
        <v>5</v>
      </c>
      <c r="D87" t="s">
        <v>269</v>
      </c>
      <c r="E87" t="s">
        <v>270</v>
      </c>
      <c r="F87" t="s">
        <v>271</v>
      </c>
      <c r="G87">
        <v>0</v>
      </c>
      <c r="H87">
        <v>2</v>
      </c>
      <c r="I87" t="s">
        <v>222</v>
      </c>
      <c r="J87">
        <v>2</v>
      </c>
      <c r="K87" t="s">
        <v>223</v>
      </c>
      <c r="L87" t="s">
        <v>223</v>
      </c>
      <c r="M87" t="s">
        <v>272</v>
      </c>
      <c r="N87">
        <v>1</v>
      </c>
      <c r="O87">
        <v>28.024459886848899</v>
      </c>
      <c r="P87">
        <v>43.6955404747195</v>
      </c>
    </row>
    <row r="88" spans="1:16">
      <c r="A88" t="s">
        <v>141</v>
      </c>
      <c r="B88" s="2" t="s">
        <v>343</v>
      </c>
      <c r="C88" s="2">
        <v>6</v>
      </c>
      <c r="D88" t="s">
        <v>269</v>
      </c>
      <c r="E88" t="s">
        <v>270</v>
      </c>
      <c r="F88" t="s">
        <v>271</v>
      </c>
      <c r="G88">
        <v>0</v>
      </c>
      <c r="H88">
        <v>2</v>
      </c>
      <c r="I88" t="s">
        <v>222</v>
      </c>
      <c r="J88">
        <v>2</v>
      </c>
      <c r="K88" t="s">
        <v>223</v>
      </c>
      <c r="L88" t="s">
        <v>223</v>
      </c>
      <c r="M88" t="s">
        <v>272</v>
      </c>
      <c r="N88">
        <v>1</v>
      </c>
      <c r="O88">
        <v>27.624494685576899</v>
      </c>
      <c r="P88">
        <v>57.617810913519797</v>
      </c>
    </row>
    <row r="89" spans="1:16">
      <c r="A89" t="s">
        <v>169</v>
      </c>
      <c r="B89" s="2" t="s">
        <v>345</v>
      </c>
      <c r="C89" s="2">
        <v>7</v>
      </c>
      <c r="D89" t="s">
        <v>305</v>
      </c>
      <c r="E89" t="s">
        <v>306</v>
      </c>
      <c r="F89" t="s">
        <v>271</v>
      </c>
      <c r="G89">
        <v>0</v>
      </c>
      <c r="H89">
        <v>2</v>
      </c>
      <c r="I89" t="s">
        <v>222</v>
      </c>
      <c r="J89">
        <v>2</v>
      </c>
      <c r="K89" t="s">
        <v>223</v>
      </c>
      <c r="L89" t="s">
        <v>223</v>
      </c>
      <c r="M89" t="s">
        <v>272</v>
      </c>
      <c r="N89">
        <v>1</v>
      </c>
      <c r="O89">
        <v>23.065212170947198</v>
      </c>
      <c r="P89">
        <v>1348.4172327399201</v>
      </c>
    </row>
    <row r="90" spans="1:16">
      <c r="A90" t="s">
        <v>170</v>
      </c>
      <c r="B90" s="2" t="s">
        <v>345</v>
      </c>
      <c r="C90" s="2">
        <v>8</v>
      </c>
      <c r="D90" t="s">
        <v>305</v>
      </c>
      <c r="E90" t="s">
        <v>306</v>
      </c>
      <c r="F90" t="s">
        <v>271</v>
      </c>
      <c r="G90">
        <v>0</v>
      </c>
      <c r="H90">
        <v>2</v>
      </c>
      <c r="I90" t="s">
        <v>222</v>
      </c>
      <c r="J90">
        <v>2</v>
      </c>
      <c r="K90" t="s">
        <v>223</v>
      </c>
      <c r="L90" t="s">
        <v>223</v>
      </c>
      <c r="M90" t="s">
        <v>272</v>
      </c>
      <c r="N90">
        <v>1</v>
      </c>
      <c r="O90">
        <v>23.012954983407901</v>
      </c>
      <c r="P90">
        <v>1398.03629251759</v>
      </c>
    </row>
    <row r="91" spans="1:16">
      <c r="A91" t="s">
        <v>171</v>
      </c>
      <c r="B91" s="2" t="s">
        <v>345</v>
      </c>
      <c r="C91" s="2">
        <v>9</v>
      </c>
      <c r="D91" t="s">
        <v>305</v>
      </c>
      <c r="E91" t="s">
        <v>306</v>
      </c>
      <c r="F91" t="s">
        <v>271</v>
      </c>
      <c r="G91">
        <v>0</v>
      </c>
      <c r="H91">
        <v>2</v>
      </c>
      <c r="I91" t="s">
        <v>222</v>
      </c>
      <c r="J91">
        <v>2</v>
      </c>
      <c r="K91" t="s">
        <v>223</v>
      </c>
      <c r="L91" t="s">
        <v>223</v>
      </c>
      <c r="M91" t="s">
        <v>272</v>
      </c>
      <c r="N91">
        <v>1</v>
      </c>
      <c r="O91">
        <v>23.034888851791401</v>
      </c>
      <c r="P91">
        <v>1376.99115865305</v>
      </c>
    </row>
    <row r="92" spans="1:16">
      <c r="A92" t="s">
        <v>70</v>
      </c>
      <c r="B92" s="2" t="s">
        <v>338</v>
      </c>
      <c r="C92" s="2">
        <v>7</v>
      </c>
      <c r="D92" t="s">
        <v>297</v>
      </c>
      <c r="E92" t="s">
        <v>296</v>
      </c>
      <c r="F92" t="s">
        <v>274</v>
      </c>
      <c r="G92">
        <v>2</v>
      </c>
      <c r="H92">
        <v>4</v>
      </c>
      <c r="I92" t="s">
        <v>275</v>
      </c>
      <c r="J92">
        <v>2</v>
      </c>
      <c r="K92" t="s">
        <v>223</v>
      </c>
      <c r="L92" t="s">
        <v>223</v>
      </c>
      <c r="M92" t="s">
        <v>272</v>
      </c>
      <c r="N92">
        <v>2</v>
      </c>
      <c r="O92">
        <v>18.214110735943901</v>
      </c>
      <c r="P92">
        <v>38612.899688287303</v>
      </c>
    </row>
    <row r="93" spans="1:16">
      <c r="A93" t="s">
        <v>71</v>
      </c>
      <c r="B93" s="2" t="s">
        <v>338</v>
      </c>
      <c r="C93" s="2">
        <v>8</v>
      </c>
      <c r="D93" t="s">
        <v>297</v>
      </c>
      <c r="E93" t="s">
        <v>296</v>
      </c>
      <c r="F93" t="s">
        <v>274</v>
      </c>
      <c r="G93">
        <v>2</v>
      </c>
      <c r="H93">
        <v>4</v>
      </c>
      <c r="I93" t="s">
        <v>275</v>
      </c>
      <c r="J93">
        <v>2</v>
      </c>
      <c r="K93" t="s">
        <v>223</v>
      </c>
      <c r="L93" t="s">
        <v>223</v>
      </c>
      <c r="M93" t="s">
        <v>272</v>
      </c>
      <c r="N93">
        <v>2</v>
      </c>
      <c r="O93">
        <v>18.376544981898199</v>
      </c>
      <c r="P93">
        <v>34510.346160947898</v>
      </c>
    </row>
    <row r="94" spans="1:16">
      <c r="A94" t="s">
        <v>72</v>
      </c>
      <c r="B94" s="2" t="s">
        <v>338</v>
      </c>
      <c r="C94" s="2">
        <v>9</v>
      </c>
      <c r="D94" t="s">
        <v>297</v>
      </c>
      <c r="E94" t="s">
        <v>296</v>
      </c>
      <c r="F94" t="s">
        <v>274</v>
      </c>
      <c r="G94">
        <v>2</v>
      </c>
      <c r="H94">
        <v>4</v>
      </c>
      <c r="I94" t="s">
        <v>275</v>
      </c>
      <c r="J94">
        <v>2</v>
      </c>
      <c r="K94" t="s">
        <v>223</v>
      </c>
      <c r="L94" t="s">
        <v>223</v>
      </c>
      <c r="M94" t="s">
        <v>272</v>
      </c>
      <c r="N94">
        <v>2</v>
      </c>
      <c r="O94">
        <v>18.3553286948733</v>
      </c>
      <c r="P94">
        <v>35020.399956324502</v>
      </c>
    </row>
    <row r="95" spans="1:16">
      <c r="A95" t="s">
        <v>151</v>
      </c>
      <c r="B95" s="2" t="s">
        <v>344</v>
      </c>
      <c r="C95" s="2">
        <v>4</v>
      </c>
      <c r="D95" t="s">
        <v>273</v>
      </c>
      <c r="E95" t="s">
        <v>270</v>
      </c>
      <c r="F95" t="s">
        <v>274</v>
      </c>
      <c r="G95">
        <v>2</v>
      </c>
      <c r="H95">
        <v>4</v>
      </c>
      <c r="I95" t="s">
        <v>275</v>
      </c>
      <c r="J95">
        <v>2</v>
      </c>
      <c r="K95" t="s">
        <v>223</v>
      </c>
      <c r="L95" t="s">
        <v>223</v>
      </c>
      <c r="M95" t="s">
        <v>272</v>
      </c>
      <c r="N95">
        <v>2</v>
      </c>
      <c r="O95">
        <v>19.2625819087995</v>
      </c>
      <c r="P95">
        <v>18700.364748179501</v>
      </c>
    </row>
    <row r="96" spans="1:16">
      <c r="A96" t="s">
        <v>152</v>
      </c>
      <c r="B96" s="2" t="s">
        <v>344</v>
      </c>
      <c r="C96" s="2">
        <v>5</v>
      </c>
      <c r="D96" t="s">
        <v>273</v>
      </c>
      <c r="E96" t="s">
        <v>270</v>
      </c>
      <c r="F96" t="s">
        <v>274</v>
      </c>
      <c r="G96">
        <v>2</v>
      </c>
      <c r="H96">
        <v>4</v>
      </c>
      <c r="I96" t="s">
        <v>275</v>
      </c>
      <c r="J96">
        <v>2</v>
      </c>
      <c r="K96" t="s">
        <v>223</v>
      </c>
      <c r="L96" t="s">
        <v>223</v>
      </c>
      <c r="M96" t="s">
        <v>272</v>
      </c>
      <c r="N96">
        <v>2</v>
      </c>
      <c r="O96">
        <v>19.3897994637226</v>
      </c>
      <c r="P96">
        <v>17125.506969867001</v>
      </c>
    </row>
    <row r="97" spans="1:16">
      <c r="A97" t="s">
        <v>153</v>
      </c>
      <c r="B97" s="2" t="s">
        <v>344</v>
      </c>
      <c r="C97" s="2">
        <v>6</v>
      </c>
      <c r="D97" t="s">
        <v>273</v>
      </c>
      <c r="E97" t="s">
        <v>270</v>
      </c>
      <c r="F97" t="s">
        <v>274</v>
      </c>
      <c r="G97">
        <v>2</v>
      </c>
      <c r="H97">
        <v>4</v>
      </c>
      <c r="I97" t="s">
        <v>275</v>
      </c>
      <c r="J97">
        <v>2</v>
      </c>
      <c r="K97" t="s">
        <v>223</v>
      </c>
      <c r="L97" t="s">
        <v>223</v>
      </c>
      <c r="M97" t="s">
        <v>272</v>
      </c>
      <c r="N97">
        <v>2</v>
      </c>
      <c r="O97">
        <v>19.514130004829799</v>
      </c>
      <c r="P97">
        <v>15714.618395032199</v>
      </c>
    </row>
    <row r="98" spans="1:16">
      <c r="A98" t="s">
        <v>184</v>
      </c>
      <c r="B98" s="2" t="s">
        <v>346</v>
      </c>
      <c r="C98" s="2">
        <v>7</v>
      </c>
      <c r="D98" t="s">
        <v>307</v>
      </c>
      <c r="E98" t="s">
        <v>306</v>
      </c>
      <c r="F98" t="s">
        <v>274</v>
      </c>
      <c r="G98">
        <v>2</v>
      </c>
      <c r="H98">
        <v>4</v>
      </c>
      <c r="I98" t="s">
        <v>275</v>
      </c>
      <c r="J98">
        <v>2</v>
      </c>
      <c r="K98" t="s">
        <v>223</v>
      </c>
      <c r="L98" t="s">
        <v>223</v>
      </c>
      <c r="M98" t="s">
        <v>272</v>
      </c>
      <c r="N98">
        <v>2</v>
      </c>
      <c r="O98">
        <v>19.064467342899501</v>
      </c>
      <c r="P98">
        <v>21446.127260963101</v>
      </c>
    </row>
    <row r="99" spans="1:16">
      <c r="A99" t="s">
        <v>185</v>
      </c>
      <c r="B99" s="2" t="s">
        <v>346</v>
      </c>
      <c r="C99" s="2">
        <v>8</v>
      </c>
      <c r="D99" t="s">
        <v>307</v>
      </c>
      <c r="E99" t="s">
        <v>306</v>
      </c>
      <c r="F99" t="s">
        <v>274</v>
      </c>
      <c r="G99">
        <v>2</v>
      </c>
      <c r="H99">
        <v>4</v>
      </c>
      <c r="I99" t="s">
        <v>275</v>
      </c>
      <c r="J99">
        <v>2</v>
      </c>
      <c r="K99" t="s">
        <v>223</v>
      </c>
      <c r="L99" t="s">
        <v>223</v>
      </c>
      <c r="M99" t="s">
        <v>272</v>
      </c>
      <c r="N99">
        <v>2</v>
      </c>
      <c r="O99">
        <v>18.789050602644998</v>
      </c>
      <c r="P99">
        <v>25945.585332437098</v>
      </c>
    </row>
    <row r="100" spans="1:16">
      <c r="A100" t="s">
        <v>186</v>
      </c>
      <c r="B100" s="2" t="s">
        <v>346</v>
      </c>
      <c r="C100" s="2">
        <v>9</v>
      </c>
      <c r="D100" t="s">
        <v>307</v>
      </c>
      <c r="E100" t="s">
        <v>306</v>
      </c>
      <c r="F100" t="s">
        <v>274</v>
      </c>
      <c r="G100">
        <v>2</v>
      </c>
      <c r="H100">
        <v>4</v>
      </c>
      <c r="I100" t="s">
        <v>275</v>
      </c>
      <c r="J100">
        <v>2</v>
      </c>
      <c r="K100" t="s">
        <v>223</v>
      </c>
      <c r="L100" t="s">
        <v>223</v>
      </c>
      <c r="M100" t="s">
        <v>272</v>
      </c>
      <c r="N100">
        <v>2</v>
      </c>
      <c r="O100">
        <v>18.945257495537</v>
      </c>
      <c r="P100">
        <v>23288.987233222</v>
      </c>
    </row>
    <row r="101" spans="1:16">
      <c r="A101" t="s">
        <v>82</v>
      </c>
      <c r="B101" s="2" t="s">
        <v>339</v>
      </c>
      <c r="C101" s="2">
        <v>7</v>
      </c>
      <c r="D101" t="s">
        <v>298</v>
      </c>
      <c r="E101" t="s">
        <v>296</v>
      </c>
      <c r="F101" t="s">
        <v>277</v>
      </c>
      <c r="G101">
        <v>4</v>
      </c>
      <c r="H101">
        <v>6</v>
      </c>
      <c r="I101" t="s">
        <v>278</v>
      </c>
      <c r="J101">
        <v>2</v>
      </c>
      <c r="K101" t="s">
        <v>223</v>
      </c>
      <c r="L101" t="s">
        <v>223</v>
      </c>
      <c r="M101" t="s">
        <v>272</v>
      </c>
      <c r="N101">
        <v>3</v>
      </c>
      <c r="O101">
        <v>17.711210859439799</v>
      </c>
      <c r="P101">
        <v>54672.122504790997</v>
      </c>
    </row>
    <row r="102" spans="1:16">
      <c r="A102" t="s">
        <v>83</v>
      </c>
      <c r="B102" s="2" t="s">
        <v>339</v>
      </c>
      <c r="C102" s="2">
        <v>8</v>
      </c>
      <c r="D102" t="s">
        <v>298</v>
      </c>
      <c r="E102" t="s">
        <v>296</v>
      </c>
      <c r="F102" t="s">
        <v>277</v>
      </c>
      <c r="G102">
        <v>4</v>
      </c>
      <c r="H102">
        <v>6</v>
      </c>
      <c r="I102" t="s">
        <v>278</v>
      </c>
      <c r="J102">
        <v>2</v>
      </c>
      <c r="K102" t="s">
        <v>223</v>
      </c>
      <c r="L102" t="s">
        <v>223</v>
      </c>
      <c r="M102" t="s">
        <v>272</v>
      </c>
      <c r="N102">
        <v>3</v>
      </c>
      <c r="O102">
        <v>17.615814977629199</v>
      </c>
      <c r="P102">
        <v>58400.386874155898</v>
      </c>
    </row>
    <row r="103" spans="1:16">
      <c r="A103" t="s">
        <v>84</v>
      </c>
      <c r="B103" s="2" t="s">
        <v>339</v>
      </c>
      <c r="C103" s="2">
        <v>9</v>
      </c>
      <c r="D103" t="s">
        <v>298</v>
      </c>
      <c r="E103" t="s">
        <v>296</v>
      </c>
      <c r="F103" t="s">
        <v>277</v>
      </c>
      <c r="G103">
        <v>4</v>
      </c>
      <c r="H103">
        <v>6</v>
      </c>
      <c r="I103" t="s">
        <v>278</v>
      </c>
      <c r="J103">
        <v>2</v>
      </c>
      <c r="K103" t="s">
        <v>223</v>
      </c>
      <c r="L103" t="s">
        <v>223</v>
      </c>
      <c r="M103" t="s">
        <v>272</v>
      </c>
      <c r="N103">
        <v>3</v>
      </c>
      <c r="O103">
        <v>17.639002166702699</v>
      </c>
      <c r="P103">
        <v>57471.433046142003</v>
      </c>
    </row>
    <row r="104" spans="1:16">
      <c r="A104" t="s">
        <v>166</v>
      </c>
      <c r="B104" s="2" t="s">
        <v>345</v>
      </c>
      <c r="C104" s="2">
        <v>4</v>
      </c>
      <c r="D104" t="s">
        <v>276</v>
      </c>
      <c r="E104" t="s">
        <v>270</v>
      </c>
      <c r="F104" t="s">
        <v>277</v>
      </c>
      <c r="G104">
        <v>4</v>
      </c>
      <c r="H104">
        <v>6</v>
      </c>
      <c r="I104" t="s">
        <v>278</v>
      </c>
      <c r="J104">
        <v>2</v>
      </c>
      <c r="K104" t="s">
        <v>223</v>
      </c>
      <c r="L104" t="s">
        <v>223</v>
      </c>
      <c r="M104" t="s">
        <v>272</v>
      </c>
      <c r="N104">
        <v>3</v>
      </c>
      <c r="O104">
        <v>17.694279823218999</v>
      </c>
      <c r="P104">
        <v>55315.997945615702</v>
      </c>
    </row>
    <row r="105" spans="1:16">
      <c r="A105" t="s">
        <v>167</v>
      </c>
      <c r="B105" s="2" t="s">
        <v>345</v>
      </c>
      <c r="C105" s="2">
        <v>5</v>
      </c>
      <c r="D105" t="s">
        <v>276</v>
      </c>
      <c r="E105" t="s">
        <v>270</v>
      </c>
      <c r="F105" t="s">
        <v>277</v>
      </c>
      <c r="G105">
        <v>4</v>
      </c>
      <c r="H105">
        <v>6</v>
      </c>
      <c r="I105" t="s">
        <v>278</v>
      </c>
      <c r="J105">
        <v>2</v>
      </c>
      <c r="K105" t="s">
        <v>223</v>
      </c>
      <c r="L105" t="s">
        <v>223</v>
      </c>
      <c r="M105" t="s">
        <v>272</v>
      </c>
      <c r="N105">
        <v>3</v>
      </c>
      <c r="O105">
        <v>17.791958094651701</v>
      </c>
      <c r="P105">
        <v>51702.971418699199</v>
      </c>
    </row>
    <row r="106" spans="1:16">
      <c r="A106" t="s">
        <v>168</v>
      </c>
      <c r="B106" s="2" t="s">
        <v>345</v>
      </c>
      <c r="C106" s="2">
        <v>6</v>
      </c>
      <c r="D106" t="s">
        <v>276</v>
      </c>
      <c r="E106" t="s">
        <v>270</v>
      </c>
      <c r="F106" t="s">
        <v>277</v>
      </c>
      <c r="G106">
        <v>4</v>
      </c>
      <c r="H106">
        <v>6</v>
      </c>
      <c r="I106" t="s">
        <v>278</v>
      </c>
      <c r="J106">
        <v>2</v>
      </c>
      <c r="K106" t="s">
        <v>223</v>
      </c>
      <c r="L106" t="s">
        <v>223</v>
      </c>
      <c r="M106" t="s">
        <v>272</v>
      </c>
      <c r="N106">
        <v>3</v>
      </c>
      <c r="O106">
        <v>17.706172215269699</v>
      </c>
      <c r="P106">
        <v>54862.951321511398</v>
      </c>
    </row>
    <row r="107" spans="1:16">
      <c r="A107" t="s">
        <v>199</v>
      </c>
      <c r="B107" s="2" t="s">
        <v>347</v>
      </c>
      <c r="C107" s="2">
        <v>7</v>
      </c>
      <c r="D107" t="s">
        <v>308</v>
      </c>
      <c r="E107" t="s">
        <v>306</v>
      </c>
      <c r="F107" t="s">
        <v>277</v>
      </c>
      <c r="G107">
        <v>4</v>
      </c>
      <c r="H107">
        <v>6</v>
      </c>
      <c r="I107" t="s">
        <v>278</v>
      </c>
      <c r="J107">
        <v>2</v>
      </c>
      <c r="K107" t="s">
        <v>223</v>
      </c>
      <c r="L107" t="s">
        <v>223</v>
      </c>
      <c r="M107" t="s">
        <v>272</v>
      </c>
      <c r="N107">
        <v>3</v>
      </c>
      <c r="O107">
        <v>18.2015462836805</v>
      </c>
      <c r="P107">
        <v>38949.854414361798</v>
      </c>
    </row>
    <row r="108" spans="1:16">
      <c r="A108" t="s">
        <v>200</v>
      </c>
      <c r="B108" s="2" t="s">
        <v>347</v>
      </c>
      <c r="C108" s="2">
        <v>8</v>
      </c>
      <c r="D108" t="s">
        <v>308</v>
      </c>
      <c r="E108" t="s">
        <v>306</v>
      </c>
      <c r="F108" t="s">
        <v>277</v>
      </c>
      <c r="G108">
        <v>4</v>
      </c>
      <c r="H108">
        <v>6</v>
      </c>
      <c r="I108" t="s">
        <v>278</v>
      </c>
      <c r="J108">
        <v>2</v>
      </c>
      <c r="K108" t="s">
        <v>223</v>
      </c>
      <c r="L108" t="s">
        <v>223</v>
      </c>
      <c r="M108" t="s">
        <v>272</v>
      </c>
      <c r="N108">
        <v>3</v>
      </c>
      <c r="O108">
        <v>18.276080891647499</v>
      </c>
      <c r="P108">
        <v>36993.141692175901</v>
      </c>
    </row>
    <row r="109" spans="1:16">
      <c r="A109" t="s">
        <v>201</v>
      </c>
      <c r="B109" s="2" t="s">
        <v>347</v>
      </c>
      <c r="C109" s="2">
        <v>9</v>
      </c>
      <c r="D109" t="s">
        <v>308</v>
      </c>
      <c r="E109" t="s">
        <v>306</v>
      </c>
      <c r="F109" t="s">
        <v>277</v>
      </c>
      <c r="G109">
        <v>4</v>
      </c>
      <c r="H109">
        <v>6</v>
      </c>
      <c r="I109" t="s">
        <v>278</v>
      </c>
      <c r="J109">
        <v>2</v>
      </c>
      <c r="K109" t="s">
        <v>223</v>
      </c>
      <c r="L109" t="s">
        <v>223</v>
      </c>
      <c r="M109" t="s">
        <v>272</v>
      </c>
      <c r="N109">
        <v>3</v>
      </c>
      <c r="O109">
        <v>18.314483718136</v>
      </c>
      <c r="P109">
        <v>36023.663606333597</v>
      </c>
    </row>
    <row r="110" spans="1:16">
      <c r="A110" t="s">
        <v>12</v>
      </c>
      <c r="B110" s="2" t="s">
        <v>334</v>
      </c>
      <c r="C110" s="2">
        <v>10</v>
      </c>
      <c r="D110" t="s">
        <v>309</v>
      </c>
      <c r="E110" t="s">
        <v>306</v>
      </c>
      <c r="F110" t="s">
        <v>280</v>
      </c>
      <c r="G110">
        <v>6</v>
      </c>
      <c r="H110">
        <v>8</v>
      </c>
      <c r="I110" t="s">
        <v>281</v>
      </c>
      <c r="J110">
        <v>2</v>
      </c>
      <c r="K110" t="s">
        <v>223</v>
      </c>
      <c r="L110" t="s">
        <v>223</v>
      </c>
      <c r="M110" t="s">
        <v>272</v>
      </c>
      <c r="N110">
        <v>4</v>
      </c>
      <c r="O110">
        <v>18.108786975190199</v>
      </c>
      <c r="P110">
        <v>41530.1785980321</v>
      </c>
    </row>
    <row r="111" spans="1:16">
      <c r="A111" t="s">
        <v>13</v>
      </c>
      <c r="B111" s="2" t="s">
        <v>334</v>
      </c>
      <c r="C111" s="2">
        <v>11</v>
      </c>
      <c r="D111" t="s">
        <v>309</v>
      </c>
      <c r="E111" t="s">
        <v>306</v>
      </c>
      <c r="F111" t="s">
        <v>280</v>
      </c>
      <c r="G111">
        <v>6</v>
      </c>
      <c r="H111">
        <v>8</v>
      </c>
      <c r="I111" t="s">
        <v>281</v>
      </c>
      <c r="J111">
        <v>2</v>
      </c>
      <c r="K111" t="s">
        <v>223</v>
      </c>
      <c r="L111" t="s">
        <v>223</v>
      </c>
      <c r="M111" t="s">
        <v>272</v>
      </c>
      <c r="N111">
        <v>4</v>
      </c>
      <c r="O111">
        <v>18.185848964096799</v>
      </c>
      <c r="P111">
        <v>39374.961280268697</v>
      </c>
    </row>
    <row r="112" spans="1:16">
      <c r="A112" t="s">
        <v>14</v>
      </c>
      <c r="B112" s="2" t="s">
        <v>334</v>
      </c>
      <c r="C112" s="2">
        <v>12</v>
      </c>
      <c r="D112" t="s">
        <v>309</v>
      </c>
      <c r="E112" t="s">
        <v>306</v>
      </c>
      <c r="F112" t="s">
        <v>280</v>
      </c>
      <c r="G112">
        <v>6</v>
      </c>
      <c r="H112">
        <v>8</v>
      </c>
      <c r="I112" t="s">
        <v>281</v>
      </c>
      <c r="J112">
        <v>2</v>
      </c>
      <c r="K112" t="s">
        <v>223</v>
      </c>
      <c r="L112" t="s">
        <v>223</v>
      </c>
      <c r="M112" t="s">
        <v>272</v>
      </c>
      <c r="N112">
        <v>4</v>
      </c>
      <c r="O112">
        <v>18.045773502939699</v>
      </c>
      <c r="P112">
        <v>43379.878761297499</v>
      </c>
    </row>
    <row r="113" spans="1:16">
      <c r="A113" t="s">
        <v>94</v>
      </c>
      <c r="B113" s="2" t="s">
        <v>340</v>
      </c>
      <c r="C113" s="2">
        <v>7</v>
      </c>
      <c r="D113" t="s">
        <v>299</v>
      </c>
      <c r="E113" t="s">
        <v>296</v>
      </c>
      <c r="F113" t="s">
        <v>280</v>
      </c>
      <c r="G113">
        <v>6</v>
      </c>
      <c r="H113">
        <v>8</v>
      </c>
      <c r="I113" t="s">
        <v>281</v>
      </c>
      <c r="J113">
        <v>2</v>
      </c>
      <c r="K113" t="s">
        <v>223</v>
      </c>
      <c r="L113" t="s">
        <v>223</v>
      </c>
      <c r="M113" t="s">
        <v>272</v>
      </c>
      <c r="N113">
        <v>4</v>
      </c>
      <c r="O113">
        <v>18.002154851216702</v>
      </c>
      <c r="P113">
        <v>44708.295756466097</v>
      </c>
    </row>
    <row r="114" spans="1:16">
      <c r="A114" t="s">
        <v>95</v>
      </c>
      <c r="B114" s="2" t="s">
        <v>340</v>
      </c>
      <c r="C114" s="2">
        <v>8</v>
      </c>
      <c r="D114" t="s">
        <v>299</v>
      </c>
      <c r="E114" t="s">
        <v>296</v>
      </c>
      <c r="F114" t="s">
        <v>280</v>
      </c>
      <c r="G114">
        <v>6</v>
      </c>
      <c r="H114">
        <v>8</v>
      </c>
      <c r="I114" t="s">
        <v>281</v>
      </c>
      <c r="J114">
        <v>2</v>
      </c>
      <c r="K114" t="s">
        <v>223</v>
      </c>
      <c r="L114" t="s">
        <v>223</v>
      </c>
      <c r="M114" t="s">
        <v>272</v>
      </c>
      <c r="N114">
        <v>4</v>
      </c>
      <c r="O114">
        <v>17.7115012148207</v>
      </c>
      <c r="P114">
        <v>54661.146110194102</v>
      </c>
    </row>
    <row r="115" spans="1:16">
      <c r="A115" t="s">
        <v>96</v>
      </c>
      <c r="B115" s="2" t="s">
        <v>340</v>
      </c>
      <c r="C115" s="2">
        <v>9</v>
      </c>
      <c r="D115" t="s">
        <v>299</v>
      </c>
      <c r="E115" t="s">
        <v>296</v>
      </c>
      <c r="F115" t="s">
        <v>280</v>
      </c>
      <c r="G115">
        <v>6</v>
      </c>
      <c r="H115">
        <v>8</v>
      </c>
      <c r="I115" t="s">
        <v>281</v>
      </c>
      <c r="J115">
        <v>2</v>
      </c>
      <c r="K115" t="s">
        <v>223</v>
      </c>
      <c r="L115" t="s">
        <v>223</v>
      </c>
      <c r="M115" t="s">
        <v>272</v>
      </c>
      <c r="N115">
        <v>4</v>
      </c>
      <c r="O115">
        <v>17.7427563869431</v>
      </c>
      <c r="P115">
        <v>53492.391811632697</v>
      </c>
    </row>
    <row r="116" spans="1:16">
      <c r="A116" t="s">
        <v>181</v>
      </c>
      <c r="B116" s="2" t="s">
        <v>346</v>
      </c>
      <c r="C116" s="2">
        <v>4</v>
      </c>
      <c r="D116" t="s">
        <v>279</v>
      </c>
      <c r="E116" t="s">
        <v>270</v>
      </c>
      <c r="F116" t="s">
        <v>280</v>
      </c>
      <c r="G116">
        <v>6</v>
      </c>
      <c r="H116">
        <v>8</v>
      </c>
      <c r="I116" t="s">
        <v>281</v>
      </c>
      <c r="J116">
        <v>2</v>
      </c>
      <c r="K116" t="s">
        <v>223</v>
      </c>
      <c r="L116" t="s">
        <v>223</v>
      </c>
      <c r="M116" t="s">
        <v>272</v>
      </c>
      <c r="N116">
        <v>4</v>
      </c>
      <c r="O116">
        <v>17.27208902492</v>
      </c>
      <c r="P116">
        <v>74070.503647579797</v>
      </c>
    </row>
    <row r="117" spans="1:16">
      <c r="A117" t="s">
        <v>182</v>
      </c>
      <c r="B117" s="2" t="s">
        <v>346</v>
      </c>
      <c r="C117" s="2">
        <v>5</v>
      </c>
      <c r="D117" t="s">
        <v>279</v>
      </c>
      <c r="E117" t="s">
        <v>270</v>
      </c>
      <c r="F117" t="s">
        <v>280</v>
      </c>
      <c r="G117">
        <v>6</v>
      </c>
      <c r="H117">
        <v>8</v>
      </c>
      <c r="I117" t="s">
        <v>281</v>
      </c>
      <c r="J117">
        <v>2</v>
      </c>
      <c r="K117" t="s">
        <v>223</v>
      </c>
      <c r="L117" t="s">
        <v>223</v>
      </c>
      <c r="M117" t="s">
        <v>272</v>
      </c>
      <c r="N117">
        <v>4</v>
      </c>
      <c r="O117">
        <v>17.4578464173273</v>
      </c>
      <c r="P117">
        <v>65141.486880643999</v>
      </c>
    </row>
    <row r="118" spans="1:16">
      <c r="A118" t="s">
        <v>183</v>
      </c>
      <c r="B118" s="2" t="s">
        <v>346</v>
      </c>
      <c r="C118" s="2">
        <v>6</v>
      </c>
      <c r="D118" t="s">
        <v>279</v>
      </c>
      <c r="E118" t="s">
        <v>270</v>
      </c>
      <c r="F118" t="s">
        <v>280</v>
      </c>
      <c r="G118">
        <v>6</v>
      </c>
      <c r="H118">
        <v>8</v>
      </c>
      <c r="I118" t="s">
        <v>281</v>
      </c>
      <c r="J118">
        <v>2</v>
      </c>
      <c r="K118" t="s">
        <v>223</v>
      </c>
      <c r="L118" t="s">
        <v>223</v>
      </c>
      <c r="M118" t="s">
        <v>272</v>
      </c>
      <c r="N118">
        <v>4</v>
      </c>
      <c r="O118">
        <v>17.543545863749902</v>
      </c>
      <c r="P118">
        <v>61393.156343040398</v>
      </c>
    </row>
    <row r="119" spans="1:16">
      <c r="A119" t="s">
        <v>25</v>
      </c>
      <c r="B119" s="2" t="s">
        <v>322</v>
      </c>
      <c r="C119" s="2">
        <v>10</v>
      </c>
      <c r="D119" t="s">
        <v>310</v>
      </c>
      <c r="E119" t="s">
        <v>306</v>
      </c>
      <c r="F119" t="s">
        <v>283</v>
      </c>
      <c r="G119">
        <v>8</v>
      </c>
      <c r="H119">
        <v>10</v>
      </c>
      <c r="I119" t="s">
        <v>284</v>
      </c>
      <c r="J119">
        <v>2</v>
      </c>
      <c r="K119" t="s">
        <v>223</v>
      </c>
      <c r="L119" t="s">
        <v>223</v>
      </c>
      <c r="M119" t="s">
        <v>272</v>
      </c>
      <c r="N119">
        <v>5</v>
      </c>
      <c r="O119">
        <v>18.642773950839601</v>
      </c>
      <c r="P119">
        <v>28707.411918156398</v>
      </c>
    </row>
    <row r="120" spans="1:16">
      <c r="A120" t="s">
        <v>26</v>
      </c>
      <c r="B120" s="2" t="s">
        <v>322</v>
      </c>
      <c r="C120" s="2">
        <v>11</v>
      </c>
      <c r="D120" t="s">
        <v>310</v>
      </c>
      <c r="E120" t="s">
        <v>306</v>
      </c>
      <c r="F120" t="s">
        <v>283</v>
      </c>
      <c r="G120">
        <v>8</v>
      </c>
      <c r="H120">
        <v>10</v>
      </c>
      <c r="I120" t="s">
        <v>284</v>
      </c>
      <c r="J120">
        <v>2</v>
      </c>
      <c r="K120" t="s">
        <v>223</v>
      </c>
      <c r="L120" t="s">
        <v>223</v>
      </c>
      <c r="M120" t="s">
        <v>272</v>
      </c>
      <c r="N120">
        <v>5</v>
      </c>
      <c r="O120">
        <v>18.477699026407699</v>
      </c>
      <c r="P120">
        <v>32178.826676044999</v>
      </c>
    </row>
    <row r="121" spans="1:16">
      <c r="A121" t="s">
        <v>27</v>
      </c>
      <c r="B121" s="2" t="s">
        <v>322</v>
      </c>
      <c r="C121" s="2">
        <v>12</v>
      </c>
      <c r="D121" t="s">
        <v>310</v>
      </c>
      <c r="E121" t="s">
        <v>306</v>
      </c>
      <c r="F121" t="s">
        <v>283</v>
      </c>
      <c r="G121">
        <v>8</v>
      </c>
      <c r="H121">
        <v>10</v>
      </c>
      <c r="I121" t="s">
        <v>284</v>
      </c>
      <c r="J121">
        <v>2</v>
      </c>
      <c r="K121" t="s">
        <v>223</v>
      </c>
      <c r="L121" t="s">
        <v>223</v>
      </c>
      <c r="M121" t="s">
        <v>272</v>
      </c>
      <c r="N121">
        <v>5</v>
      </c>
      <c r="O121">
        <v>18.497447778962201</v>
      </c>
      <c r="P121">
        <v>31742.3558493944</v>
      </c>
    </row>
    <row r="122" spans="1:16">
      <c r="A122" t="s">
        <v>106</v>
      </c>
      <c r="B122" s="2" t="s">
        <v>238</v>
      </c>
      <c r="C122" s="2">
        <v>7</v>
      </c>
      <c r="D122" t="s">
        <v>300</v>
      </c>
      <c r="E122" t="s">
        <v>296</v>
      </c>
      <c r="F122" t="s">
        <v>283</v>
      </c>
      <c r="G122">
        <v>8</v>
      </c>
      <c r="H122">
        <v>10</v>
      </c>
      <c r="I122" t="s">
        <v>284</v>
      </c>
      <c r="J122">
        <v>2</v>
      </c>
      <c r="K122" t="s">
        <v>223</v>
      </c>
      <c r="L122" t="s">
        <v>223</v>
      </c>
      <c r="M122" t="s">
        <v>272</v>
      </c>
      <c r="N122">
        <v>5</v>
      </c>
      <c r="O122">
        <v>17.818219411867599</v>
      </c>
      <c r="P122">
        <v>50772.502209206301</v>
      </c>
    </row>
    <row r="123" spans="1:16">
      <c r="A123" t="s">
        <v>107</v>
      </c>
      <c r="B123" s="2" t="s">
        <v>238</v>
      </c>
      <c r="C123" s="2">
        <v>8</v>
      </c>
      <c r="D123" t="s">
        <v>300</v>
      </c>
      <c r="E123" t="s">
        <v>296</v>
      </c>
      <c r="F123" t="s">
        <v>283</v>
      </c>
      <c r="G123">
        <v>8</v>
      </c>
      <c r="H123">
        <v>10</v>
      </c>
      <c r="I123" t="s">
        <v>284</v>
      </c>
      <c r="J123">
        <v>2</v>
      </c>
      <c r="K123" t="s">
        <v>223</v>
      </c>
      <c r="L123" t="s">
        <v>223</v>
      </c>
      <c r="M123" t="s">
        <v>272</v>
      </c>
      <c r="N123">
        <v>5</v>
      </c>
      <c r="O123">
        <v>17.795947690509099</v>
      </c>
      <c r="P123">
        <v>51560.524534358403</v>
      </c>
    </row>
    <row r="124" spans="1:16">
      <c r="A124" t="s">
        <v>108</v>
      </c>
      <c r="B124" s="2" t="s">
        <v>238</v>
      </c>
      <c r="C124" s="2">
        <v>9</v>
      </c>
      <c r="D124" t="s">
        <v>300</v>
      </c>
      <c r="E124" t="s">
        <v>296</v>
      </c>
      <c r="F124" t="s">
        <v>283</v>
      </c>
      <c r="G124">
        <v>8</v>
      </c>
      <c r="H124">
        <v>10</v>
      </c>
      <c r="I124" t="s">
        <v>284</v>
      </c>
      <c r="J124">
        <v>2</v>
      </c>
      <c r="K124" t="s">
        <v>223</v>
      </c>
      <c r="L124" t="s">
        <v>223</v>
      </c>
      <c r="M124" t="s">
        <v>272</v>
      </c>
      <c r="N124">
        <v>5</v>
      </c>
      <c r="O124">
        <v>17.771418407993</v>
      </c>
      <c r="P124">
        <v>52442.5847973899</v>
      </c>
    </row>
    <row r="125" spans="1:16">
      <c r="A125" t="s">
        <v>196</v>
      </c>
      <c r="B125" s="2" t="s">
        <v>347</v>
      </c>
      <c r="C125" s="2">
        <v>4</v>
      </c>
      <c r="D125" t="s">
        <v>282</v>
      </c>
      <c r="E125" t="s">
        <v>270</v>
      </c>
      <c r="F125" t="s">
        <v>283</v>
      </c>
      <c r="G125">
        <v>8</v>
      </c>
      <c r="H125">
        <v>10</v>
      </c>
      <c r="I125" t="s">
        <v>284</v>
      </c>
      <c r="J125">
        <v>2</v>
      </c>
      <c r="K125" t="s">
        <v>223</v>
      </c>
      <c r="L125" t="s">
        <v>223</v>
      </c>
      <c r="M125" t="s">
        <v>272</v>
      </c>
      <c r="N125">
        <v>5</v>
      </c>
      <c r="O125">
        <v>18.138637352697501</v>
      </c>
      <c r="P125">
        <v>40681.689192078898</v>
      </c>
    </row>
    <row r="126" spans="1:16">
      <c r="A126" t="s">
        <v>197</v>
      </c>
      <c r="B126" s="2" t="s">
        <v>347</v>
      </c>
      <c r="C126" s="2">
        <v>5</v>
      </c>
      <c r="D126" t="s">
        <v>282</v>
      </c>
      <c r="E126" t="s">
        <v>270</v>
      </c>
      <c r="F126" t="s">
        <v>283</v>
      </c>
      <c r="G126">
        <v>8</v>
      </c>
      <c r="H126">
        <v>10</v>
      </c>
      <c r="I126" t="s">
        <v>284</v>
      </c>
      <c r="J126">
        <v>2</v>
      </c>
      <c r="K126" t="s">
        <v>223</v>
      </c>
      <c r="L126" t="s">
        <v>223</v>
      </c>
      <c r="M126" t="s">
        <v>272</v>
      </c>
      <c r="N126">
        <v>5</v>
      </c>
      <c r="O126">
        <v>18.064237392871402</v>
      </c>
      <c r="P126">
        <v>42829.515547247502</v>
      </c>
    </row>
    <row r="127" spans="1:16">
      <c r="A127" t="s">
        <v>198</v>
      </c>
      <c r="B127" s="2" t="s">
        <v>347</v>
      </c>
      <c r="C127" s="2">
        <v>6</v>
      </c>
      <c r="D127" t="s">
        <v>282</v>
      </c>
      <c r="E127" t="s">
        <v>270</v>
      </c>
      <c r="F127" t="s">
        <v>283</v>
      </c>
      <c r="G127">
        <v>8</v>
      </c>
      <c r="H127">
        <v>10</v>
      </c>
      <c r="I127" t="s">
        <v>284</v>
      </c>
      <c r="J127">
        <v>2</v>
      </c>
      <c r="K127" t="s">
        <v>223</v>
      </c>
      <c r="L127" t="s">
        <v>223</v>
      </c>
      <c r="M127" t="s">
        <v>272</v>
      </c>
      <c r="N127">
        <v>5</v>
      </c>
      <c r="O127">
        <v>17.981913705685301</v>
      </c>
      <c r="P127">
        <v>45338.488950965402</v>
      </c>
    </row>
    <row r="128" spans="1:16">
      <c r="A128" t="s">
        <v>9</v>
      </c>
      <c r="B128" s="2" t="s">
        <v>334</v>
      </c>
      <c r="C128" s="2">
        <v>7</v>
      </c>
      <c r="D128" t="s">
        <v>285</v>
      </c>
      <c r="E128" t="s">
        <v>270</v>
      </c>
      <c r="F128" t="s">
        <v>286</v>
      </c>
      <c r="G128">
        <v>10</v>
      </c>
      <c r="H128">
        <v>14</v>
      </c>
      <c r="I128" t="s">
        <v>233</v>
      </c>
      <c r="J128">
        <v>4</v>
      </c>
      <c r="K128" t="s">
        <v>223</v>
      </c>
      <c r="L128" t="s">
        <v>223</v>
      </c>
      <c r="M128" t="s">
        <v>272</v>
      </c>
      <c r="N128">
        <v>6</v>
      </c>
      <c r="O128">
        <v>17.503382076886201</v>
      </c>
      <c r="P128">
        <v>63122.2048269347</v>
      </c>
    </row>
    <row r="129" spans="1:16">
      <c r="A129" t="s">
        <v>10</v>
      </c>
      <c r="B129" s="2" t="s">
        <v>334</v>
      </c>
      <c r="C129" s="2">
        <v>8</v>
      </c>
      <c r="D129" t="s">
        <v>285</v>
      </c>
      <c r="E129" t="s">
        <v>270</v>
      </c>
      <c r="F129" t="s">
        <v>286</v>
      </c>
      <c r="G129">
        <v>10</v>
      </c>
      <c r="H129">
        <v>14</v>
      </c>
      <c r="I129" t="s">
        <v>233</v>
      </c>
      <c r="J129">
        <v>4</v>
      </c>
      <c r="K129" t="s">
        <v>223</v>
      </c>
      <c r="L129" t="s">
        <v>223</v>
      </c>
      <c r="M129" t="s">
        <v>272</v>
      </c>
      <c r="N129">
        <v>6</v>
      </c>
      <c r="O129">
        <v>17.573226365523201</v>
      </c>
      <c r="P129">
        <v>60145.918097474001</v>
      </c>
    </row>
    <row r="130" spans="1:16">
      <c r="A130" t="s">
        <v>11</v>
      </c>
      <c r="B130" s="2" t="s">
        <v>334</v>
      </c>
      <c r="C130" s="2">
        <v>9</v>
      </c>
      <c r="D130" t="s">
        <v>285</v>
      </c>
      <c r="E130" t="s">
        <v>270</v>
      </c>
      <c r="F130" t="s">
        <v>286</v>
      </c>
      <c r="G130">
        <v>10</v>
      </c>
      <c r="H130">
        <v>14</v>
      </c>
      <c r="I130" t="s">
        <v>233</v>
      </c>
      <c r="J130">
        <v>4</v>
      </c>
      <c r="K130" t="s">
        <v>223</v>
      </c>
      <c r="L130" t="s">
        <v>223</v>
      </c>
      <c r="M130" t="s">
        <v>272</v>
      </c>
      <c r="N130">
        <v>6</v>
      </c>
      <c r="O130">
        <v>17.391704049285501</v>
      </c>
      <c r="P130">
        <v>68190.188150486007</v>
      </c>
    </row>
    <row r="131" spans="1:16">
      <c r="A131" t="s">
        <v>37</v>
      </c>
      <c r="B131" s="2" t="s">
        <v>335</v>
      </c>
      <c r="C131" s="2">
        <v>10</v>
      </c>
      <c r="D131" t="s">
        <v>311</v>
      </c>
      <c r="E131" t="s">
        <v>306</v>
      </c>
      <c r="F131" t="s">
        <v>286</v>
      </c>
      <c r="G131">
        <v>10</v>
      </c>
      <c r="H131">
        <v>14</v>
      </c>
      <c r="I131" t="s">
        <v>233</v>
      </c>
      <c r="J131">
        <v>4</v>
      </c>
      <c r="K131" t="s">
        <v>223</v>
      </c>
      <c r="L131" t="s">
        <v>223</v>
      </c>
      <c r="M131" t="s">
        <v>272</v>
      </c>
      <c r="N131">
        <v>6</v>
      </c>
      <c r="O131">
        <v>18.1198828257731</v>
      </c>
      <c r="P131">
        <v>41212.734848841399</v>
      </c>
    </row>
    <row r="132" spans="1:16">
      <c r="A132" t="s">
        <v>38</v>
      </c>
      <c r="B132" s="2" t="s">
        <v>335</v>
      </c>
      <c r="C132" s="2">
        <v>11</v>
      </c>
      <c r="D132" t="s">
        <v>311</v>
      </c>
      <c r="E132" t="s">
        <v>306</v>
      </c>
      <c r="F132" t="s">
        <v>286</v>
      </c>
      <c r="G132">
        <v>10</v>
      </c>
      <c r="H132">
        <v>14</v>
      </c>
      <c r="I132" t="s">
        <v>233</v>
      </c>
      <c r="J132">
        <v>4</v>
      </c>
      <c r="K132" t="s">
        <v>223</v>
      </c>
      <c r="L132" t="s">
        <v>223</v>
      </c>
      <c r="M132" t="s">
        <v>272</v>
      </c>
      <c r="N132">
        <v>6</v>
      </c>
      <c r="O132">
        <v>18.0498061387467</v>
      </c>
      <c r="P132">
        <v>43259.075287439598</v>
      </c>
    </row>
    <row r="133" spans="1:16">
      <c r="A133" t="s">
        <v>39</v>
      </c>
      <c r="B133" s="2" t="s">
        <v>335</v>
      </c>
      <c r="C133" s="2">
        <v>12</v>
      </c>
      <c r="D133" t="s">
        <v>311</v>
      </c>
      <c r="E133" t="s">
        <v>306</v>
      </c>
      <c r="F133" t="s">
        <v>286</v>
      </c>
      <c r="G133">
        <v>10</v>
      </c>
      <c r="H133">
        <v>14</v>
      </c>
      <c r="I133" t="s">
        <v>233</v>
      </c>
      <c r="J133">
        <v>4</v>
      </c>
      <c r="K133" t="s">
        <v>223</v>
      </c>
      <c r="L133" t="s">
        <v>223</v>
      </c>
      <c r="M133" t="s">
        <v>272</v>
      </c>
      <c r="N133">
        <v>6</v>
      </c>
      <c r="O133">
        <v>18.061041283979002</v>
      </c>
      <c r="P133">
        <v>42924.281482173901</v>
      </c>
    </row>
    <row r="134" spans="1:16">
      <c r="A134" t="s">
        <v>118</v>
      </c>
      <c r="B134" s="2" t="s">
        <v>341</v>
      </c>
      <c r="C134" s="2">
        <v>7</v>
      </c>
      <c r="D134" t="s">
        <v>301</v>
      </c>
      <c r="E134" t="s">
        <v>296</v>
      </c>
      <c r="F134" t="s">
        <v>286</v>
      </c>
      <c r="G134">
        <v>10</v>
      </c>
      <c r="H134">
        <v>14</v>
      </c>
      <c r="I134" t="s">
        <v>233</v>
      </c>
      <c r="J134">
        <v>4</v>
      </c>
      <c r="K134" t="s">
        <v>223</v>
      </c>
      <c r="L134" t="s">
        <v>223</v>
      </c>
      <c r="M134" t="s">
        <v>272</v>
      </c>
      <c r="N134">
        <v>6</v>
      </c>
      <c r="O134">
        <v>17.231134920997601</v>
      </c>
      <c r="P134">
        <v>76198.223825962501</v>
      </c>
    </row>
    <row r="135" spans="1:16">
      <c r="A135" t="s">
        <v>119</v>
      </c>
      <c r="B135" s="2" t="s">
        <v>341</v>
      </c>
      <c r="C135" s="2">
        <v>8</v>
      </c>
      <c r="D135" t="s">
        <v>301</v>
      </c>
      <c r="E135" t="s">
        <v>296</v>
      </c>
      <c r="F135" t="s">
        <v>286</v>
      </c>
      <c r="G135">
        <v>10</v>
      </c>
      <c r="H135">
        <v>14</v>
      </c>
      <c r="I135" t="s">
        <v>233</v>
      </c>
      <c r="J135">
        <v>4</v>
      </c>
      <c r="K135" t="s">
        <v>223</v>
      </c>
      <c r="L135" t="s">
        <v>223</v>
      </c>
      <c r="M135" t="s">
        <v>272</v>
      </c>
      <c r="N135">
        <v>6</v>
      </c>
      <c r="O135">
        <v>17.078763681860501</v>
      </c>
      <c r="P135">
        <v>84665.362960585204</v>
      </c>
    </row>
    <row r="136" spans="1:16">
      <c r="A136" t="s">
        <v>120</v>
      </c>
      <c r="B136" s="2" t="s">
        <v>341</v>
      </c>
      <c r="C136" s="2">
        <v>9</v>
      </c>
      <c r="D136" t="s">
        <v>301</v>
      </c>
      <c r="E136" t="s">
        <v>296</v>
      </c>
      <c r="F136" t="s">
        <v>286</v>
      </c>
      <c r="G136">
        <v>10</v>
      </c>
      <c r="H136">
        <v>14</v>
      </c>
      <c r="I136" t="s">
        <v>233</v>
      </c>
      <c r="J136">
        <v>4</v>
      </c>
      <c r="K136" t="s">
        <v>223</v>
      </c>
      <c r="L136" t="s">
        <v>223</v>
      </c>
      <c r="M136" t="s">
        <v>272</v>
      </c>
      <c r="N136">
        <v>6</v>
      </c>
      <c r="O136">
        <v>16.8345696143029</v>
      </c>
      <c r="P136">
        <v>100240.543438177</v>
      </c>
    </row>
    <row r="137" spans="1:16">
      <c r="A137" t="s">
        <v>22</v>
      </c>
      <c r="B137" s="2" t="s">
        <v>322</v>
      </c>
      <c r="C137" s="2">
        <v>7</v>
      </c>
      <c r="D137" t="s">
        <v>287</v>
      </c>
      <c r="E137" t="s">
        <v>270</v>
      </c>
      <c r="F137" t="s">
        <v>288</v>
      </c>
      <c r="G137">
        <v>14</v>
      </c>
      <c r="H137">
        <v>18</v>
      </c>
      <c r="I137" t="s">
        <v>236</v>
      </c>
      <c r="J137">
        <v>4</v>
      </c>
      <c r="K137" t="s">
        <v>223</v>
      </c>
      <c r="L137" t="s">
        <v>223</v>
      </c>
      <c r="M137" t="s">
        <v>272</v>
      </c>
      <c r="N137">
        <v>7</v>
      </c>
      <c r="O137">
        <v>18.2296251588605</v>
      </c>
      <c r="P137">
        <v>38200.851568313003</v>
      </c>
    </row>
    <row r="138" spans="1:16">
      <c r="A138" t="s">
        <v>23</v>
      </c>
      <c r="B138" s="2" t="s">
        <v>322</v>
      </c>
      <c r="C138" s="2">
        <v>8</v>
      </c>
      <c r="D138" t="s">
        <v>287</v>
      </c>
      <c r="E138" t="s">
        <v>270</v>
      </c>
      <c r="F138" t="s">
        <v>288</v>
      </c>
      <c r="G138">
        <v>14</v>
      </c>
      <c r="H138">
        <v>18</v>
      </c>
      <c r="I138" t="s">
        <v>236</v>
      </c>
      <c r="J138">
        <v>4</v>
      </c>
      <c r="K138" t="s">
        <v>223</v>
      </c>
      <c r="L138" t="s">
        <v>223</v>
      </c>
      <c r="M138" t="s">
        <v>272</v>
      </c>
      <c r="N138">
        <v>7</v>
      </c>
      <c r="O138">
        <v>18.4035329692849</v>
      </c>
      <c r="P138">
        <v>33872.2574990961</v>
      </c>
    </row>
    <row r="139" spans="1:16">
      <c r="A139" t="s">
        <v>24</v>
      </c>
      <c r="B139" s="2" t="s">
        <v>322</v>
      </c>
      <c r="C139" s="2">
        <v>9</v>
      </c>
      <c r="D139" t="s">
        <v>287</v>
      </c>
      <c r="E139" t="s">
        <v>270</v>
      </c>
      <c r="F139" t="s">
        <v>288</v>
      </c>
      <c r="G139">
        <v>14</v>
      </c>
      <c r="H139">
        <v>18</v>
      </c>
      <c r="I139" t="s">
        <v>236</v>
      </c>
      <c r="J139">
        <v>4</v>
      </c>
      <c r="K139" t="s">
        <v>223</v>
      </c>
      <c r="L139" t="s">
        <v>223</v>
      </c>
      <c r="M139" t="s">
        <v>272</v>
      </c>
      <c r="N139">
        <v>7</v>
      </c>
      <c r="O139">
        <v>18.222649456732999</v>
      </c>
      <c r="P139">
        <v>38385.572614646197</v>
      </c>
    </row>
    <row r="140" spans="1:16">
      <c r="A140" t="s">
        <v>49</v>
      </c>
      <c r="B140" s="2" t="s">
        <v>336</v>
      </c>
      <c r="C140" s="2">
        <v>10</v>
      </c>
      <c r="D140" t="s">
        <v>312</v>
      </c>
      <c r="E140" t="s">
        <v>306</v>
      </c>
      <c r="F140" t="s">
        <v>288</v>
      </c>
      <c r="G140">
        <v>14</v>
      </c>
      <c r="H140">
        <v>18</v>
      </c>
      <c r="I140" t="s">
        <v>236</v>
      </c>
      <c r="J140">
        <v>4</v>
      </c>
      <c r="K140" t="s">
        <v>223</v>
      </c>
      <c r="L140" t="s">
        <v>223</v>
      </c>
      <c r="M140" t="s">
        <v>272</v>
      </c>
      <c r="N140">
        <v>7</v>
      </c>
      <c r="O140">
        <v>18.071661688175698</v>
      </c>
      <c r="P140">
        <v>42610.188837852504</v>
      </c>
    </row>
    <row r="141" spans="1:16">
      <c r="A141" t="s">
        <v>50</v>
      </c>
      <c r="B141" s="2" t="s">
        <v>336</v>
      </c>
      <c r="C141" s="2">
        <v>11</v>
      </c>
      <c r="D141" t="s">
        <v>312</v>
      </c>
      <c r="E141" t="s">
        <v>306</v>
      </c>
      <c r="F141" t="s">
        <v>288</v>
      </c>
      <c r="G141">
        <v>14</v>
      </c>
      <c r="H141">
        <v>18</v>
      </c>
      <c r="I141" t="s">
        <v>236</v>
      </c>
      <c r="J141">
        <v>4</v>
      </c>
      <c r="K141" t="s">
        <v>223</v>
      </c>
      <c r="L141" t="s">
        <v>223</v>
      </c>
      <c r="M141" t="s">
        <v>272</v>
      </c>
      <c r="N141">
        <v>7</v>
      </c>
      <c r="O141">
        <v>18.007587709883801</v>
      </c>
      <c r="P141">
        <v>44540.643862790501</v>
      </c>
    </row>
    <row r="142" spans="1:16">
      <c r="A142" t="s">
        <v>51</v>
      </c>
      <c r="B142" s="2" t="s">
        <v>336</v>
      </c>
      <c r="C142" s="2">
        <v>12</v>
      </c>
      <c r="D142" t="s">
        <v>312</v>
      </c>
      <c r="E142" t="s">
        <v>306</v>
      </c>
      <c r="F142" t="s">
        <v>288</v>
      </c>
      <c r="G142">
        <v>14</v>
      </c>
      <c r="H142">
        <v>18</v>
      </c>
      <c r="I142" t="s">
        <v>236</v>
      </c>
      <c r="J142">
        <v>4</v>
      </c>
      <c r="K142" t="s">
        <v>223</v>
      </c>
      <c r="L142" t="s">
        <v>223</v>
      </c>
      <c r="M142" t="s">
        <v>272</v>
      </c>
      <c r="N142">
        <v>7</v>
      </c>
      <c r="O142">
        <v>18.074426891242499</v>
      </c>
      <c r="P142">
        <v>42528.787260131401</v>
      </c>
    </row>
    <row r="143" spans="1:16">
      <c r="A143" t="s">
        <v>130</v>
      </c>
      <c r="B143" s="2" t="s">
        <v>342</v>
      </c>
      <c r="C143" s="2">
        <v>7</v>
      </c>
      <c r="D143" t="s">
        <v>302</v>
      </c>
      <c r="E143" t="s">
        <v>296</v>
      </c>
      <c r="F143" t="s">
        <v>288</v>
      </c>
      <c r="G143">
        <v>14</v>
      </c>
      <c r="H143">
        <v>18</v>
      </c>
      <c r="I143" t="s">
        <v>236</v>
      </c>
      <c r="J143">
        <v>4</v>
      </c>
      <c r="K143" t="s">
        <v>223</v>
      </c>
      <c r="L143" t="s">
        <v>223</v>
      </c>
      <c r="M143" t="s">
        <v>272</v>
      </c>
      <c r="N143">
        <v>7</v>
      </c>
      <c r="O143">
        <v>15.857122063892399</v>
      </c>
      <c r="P143">
        <v>197058.67870165501</v>
      </c>
    </row>
    <row r="144" spans="1:16">
      <c r="A144" t="s">
        <v>131</v>
      </c>
      <c r="B144" s="2" t="s">
        <v>342</v>
      </c>
      <c r="C144" s="2">
        <v>8</v>
      </c>
      <c r="D144" t="s">
        <v>302</v>
      </c>
      <c r="E144" t="s">
        <v>296</v>
      </c>
      <c r="F144" t="s">
        <v>288</v>
      </c>
      <c r="G144">
        <v>14</v>
      </c>
      <c r="H144">
        <v>18</v>
      </c>
      <c r="I144" t="s">
        <v>236</v>
      </c>
      <c r="J144">
        <v>4</v>
      </c>
      <c r="K144" t="s">
        <v>223</v>
      </c>
      <c r="L144" t="s">
        <v>223</v>
      </c>
      <c r="M144" t="s">
        <v>272</v>
      </c>
      <c r="N144">
        <v>7</v>
      </c>
      <c r="O144">
        <v>15.9979076815375</v>
      </c>
      <c r="P144">
        <v>178778.008192329</v>
      </c>
    </row>
    <row r="145" spans="1:16">
      <c r="A145" t="s">
        <v>132</v>
      </c>
      <c r="B145" s="2" t="s">
        <v>342</v>
      </c>
      <c r="C145" s="2">
        <v>9</v>
      </c>
      <c r="D145" t="s">
        <v>302</v>
      </c>
      <c r="E145" t="s">
        <v>296</v>
      </c>
      <c r="F145" t="s">
        <v>288</v>
      </c>
      <c r="G145">
        <v>14</v>
      </c>
      <c r="H145">
        <v>18</v>
      </c>
      <c r="I145" t="s">
        <v>236</v>
      </c>
      <c r="J145">
        <v>4</v>
      </c>
      <c r="K145" t="s">
        <v>223</v>
      </c>
      <c r="L145" t="s">
        <v>223</v>
      </c>
      <c r="M145" t="s">
        <v>272</v>
      </c>
      <c r="N145">
        <v>7</v>
      </c>
      <c r="O145">
        <v>16.130694552825901</v>
      </c>
      <c r="P145">
        <v>163092.82207289201</v>
      </c>
    </row>
    <row r="146" spans="1:16">
      <c r="A146" t="s">
        <v>34</v>
      </c>
      <c r="B146" s="2" t="s">
        <v>335</v>
      </c>
      <c r="C146" s="2">
        <v>7</v>
      </c>
      <c r="D146" t="s">
        <v>289</v>
      </c>
      <c r="E146" t="s">
        <v>270</v>
      </c>
      <c r="F146" t="s">
        <v>290</v>
      </c>
      <c r="G146">
        <v>18</v>
      </c>
      <c r="H146">
        <v>22</v>
      </c>
      <c r="I146" t="s">
        <v>291</v>
      </c>
      <c r="J146">
        <v>4</v>
      </c>
      <c r="K146" t="s">
        <v>223</v>
      </c>
      <c r="L146" t="s">
        <v>223</v>
      </c>
      <c r="M146" t="s">
        <v>272</v>
      </c>
      <c r="N146">
        <v>8</v>
      </c>
      <c r="O146">
        <v>18.4720855157899</v>
      </c>
      <c r="P146">
        <v>32303.9837677162</v>
      </c>
    </row>
    <row r="147" spans="1:16">
      <c r="A147" t="s">
        <v>35</v>
      </c>
      <c r="B147" s="2" t="s">
        <v>335</v>
      </c>
      <c r="C147" s="2">
        <v>8</v>
      </c>
      <c r="D147" t="s">
        <v>289</v>
      </c>
      <c r="E147" t="s">
        <v>270</v>
      </c>
      <c r="F147" t="s">
        <v>290</v>
      </c>
      <c r="G147">
        <v>18</v>
      </c>
      <c r="H147">
        <v>22</v>
      </c>
      <c r="I147" t="s">
        <v>291</v>
      </c>
      <c r="J147">
        <v>4</v>
      </c>
      <c r="K147" t="s">
        <v>223</v>
      </c>
      <c r="L147" t="s">
        <v>223</v>
      </c>
      <c r="M147" t="s">
        <v>272</v>
      </c>
      <c r="N147">
        <v>8</v>
      </c>
      <c r="O147">
        <v>18.580229215015901</v>
      </c>
      <c r="P147">
        <v>29976.284555988699</v>
      </c>
    </row>
    <row r="148" spans="1:16">
      <c r="A148" t="s">
        <v>36</v>
      </c>
      <c r="B148" s="2" t="s">
        <v>335</v>
      </c>
      <c r="C148" s="2">
        <v>9</v>
      </c>
      <c r="D148" t="s">
        <v>289</v>
      </c>
      <c r="E148" t="s">
        <v>270</v>
      </c>
      <c r="F148" t="s">
        <v>290</v>
      </c>
      <c r="G148">
        <v>18</v>
      </c>
      <c r="H148">
        <v>22</v>
      </c>
      <c r="I148" t="s">
        <v>291</v>
      </c>
      <c r="J148">
        <v>4</v>
      </c>
      <c r="K148" t="s">
        <v>223</v>
      </c>
      <c r="L148" t="s">
        <v>223</v>
      </c>
      <c r="M148" t="s">
        <v>272</v>
      </c>
      <c r="N148">
        <v>8</v>
      </c>
      <c r="O148">
        <v>18.1475138927504</v>
      </c>
      <c r="P148">
        <v>40432.735856479798</v>
      </c>
    </row>
    <row r="149" spans="1:16">
      <c r="A149" t="s">
        <v>61</v>
      </c>
      <c r="B149" s="2" t="s">
        <v>337</v>
      </c>
      <c r="C149" s="2">
        <v>10</v>
      </c>
      <c r="D149" t="s">
        <v>313</v>
      </c>
      <c r="E149" t="s">
        <v>306</v>
      </c>
      <c r="F149" t="s">
        <v>290</v>
      </c>
      <c r="G149">
        <v>18</v>
      </c>
      <c r="H149">
        <v>22</v>
      </c>
      <c r="I149" t="s">
        <v>291</v>
      </c>
      <c r="J149">
        <v>4</v>
      </c>
      <c r="K149" t="s">
        <v>223</v>
      </c>
      <c r="L149" t="s">
        <v>223</v>
      </c>
      <c r="M149" t="s">
        <v>272</v>
      </c>
      <c r="N149">
        <v>8</v>
      </c>
      <c r="O149">
        <v>19.092182828434201</v>
      </c>
      <c r="P149">
        <v>21039.006091880801</v>
      </c>
    </row>
    <row r="150" spans="1:16">
      <c r="A150" t="s">
        <v>62</v>
      </c>
      <c r="B150" s="2" t="s">
        <v>337</v>
      </c>
      <c r="C150" s="2">
        <v>11</v>
      </c>
      <c r="D150" t="s">
        <v>313</v>
      </c>
      <c r="E150" t="s">
        <v>306</v>
      </c>
      <c r="F150" t="s">
        <v>290</v>
      </c>
      <c r="G150">
        <v>18</v>
      </c>
      <c r="H150">
        <v>22</v>
      </c>
      <c r="I150" t="s">
        <v>291</v>
      </c>
      <c r="J150">
        <v>4</v>
      </c>
      <c r="K150" t="s">
        <v>223</v>
      </c>
      <c r="L150" t="s">
        <v>223</v>
      </c>
      <c r="M150" t="s">
        <v>272</v>
      </c>
      <c r="N150">
        <v>8</v>
      </c>
      <c r="O150">
        <v>19.0809068286379</v>
      </c>
      <c r="P150">
        <v>21203.701734908002</v>
      </c>
    </row>
    <row r="151" spans="1:16">
      <c r="A151" t="s">
        <v>63</v>
      </c>
      <c r="B151" s="2" t="s">
        <v>337</v>
      </c>
      <c r="C151" s="2">
        <v>12</v>
      </c>
      <c r="D151" t="s">
        <v>313</v>
      </c>
      <c r="E151" t="s">
        <v>306</v>
      </c>
      <c r="F151" t="s">
        <v>290</v>
      </c>
      <c r="G151">
        <v>18</v>
      </c>
      <c r="H151">
        <v>22</v>
      </c>
      <c r="I151" t="s">
        <v>291</v>
      </c>
      <c r="J151">
        <v>4</v>
      </c>
      <c r="K151" t="s">
        <v>223</v>
      </c>
      <c r="L151" t="s">
        <v>223</v>
      </c>
      <c r="M151" t="s">
        <v>272</v>
      </c>
      <c r="N151">
        <v>8</v>
      </c>
      <c r="O151">
        <v>19.102149410053201</v>
      </c>
      <c r="P151">
        <v>20894.500984746999</v>
      </c>
    </row>
    <row r="152" spans="1:16">
      <c r="A152" t="s">
        <v>142</v>
      </c>
      <c r="B152" s="2" t="s">
        <v>343</v>
      </c>
      <c r="C152" s="2">
        <v>7</v>
      </c>
      <c r="D152" t="s">
        <v>303</v>
      </c>
      <c r="E152" t="s">
        <v>296</v>
      </c>
      <c r="F152" t="s">
        <v>290</v>
      </c>
      <c r="G152">
        <v>18</v>
      </c>
      <c r="H152">
        <v>22</v>
      </c>
      <c r="I152" t="s">
        <v>291</v>
      </c>
      <c r="J152">
        <v>4</v>
      </c>
      <c r="K152" t="s">
        <v>223</v>
      </c>
      <c r="L152" t="s">
        <v>223</v>
      </c>
      <c r="M152" t="s">
        <v>272</v>
      </c>
      <c r="N152">
        <v>8</v>
      </c>
      <c r="O152">
        <v>16.608342868160001</v>
      </c>
      <c r="P152">
        <v>117215.490851489</v>
      </c>
    </row>
    <row r="153" spans="1:16">
      <c r="A153" t="s">
        <v>143</v>
      </c>
      <c r="B153" s="2" t="s">
        <v>343</v>
      </c>
      <c r="C153" s="2">
        <v>8</v>
      </c>
      <c r="D153" t="s">
        <v>303</v>
      </c>
      <c r="E153" t="s">
        <v>296</v>
      </c>
      <c r="F153" t="s">
        <v>290</v>
      </c>
      <c r="G153">
        <v>18</v>
      </c>
      <c r="H153">
        <v>22</v>
      </c>
      <c r="I153" t="s">
        <v>291</v>
      </c>
      <c r="J153">
        <v>4</v>
      </c>
      <c r="K153" t="s">
        <v>223</v>
      </c>
      <c r="L153" t="s">
        <v>223</v>
      </c>
      <c r="M153" t="s">
        <v>272</v>
      </c>
      <c r="N153">
        <v>8</v>
      </c>
      <c r="O153">
        <v>16.698037455435902</v>
      </c>
      <c r="P153">
        <v>110165.970216417</v>
      </c>
    </row>
    <row r="154" spans="1:16">
      <c r="A154" t="s">
        <v>144</v>
      </c>
      <c r="B154" s="2" t="s">
        <v>343</v>
      </c>
      <c r="C154" s="2">
        <v>9</v>
      </c>
      <c r="D154" t="s">
        <v>303</v>
      </c>
      <c r="E154" t="s">
        <v>296</v>
      </c>
      <c r="F154" t="s">
        <v>290</v>
      </c>
      <c r="G154">
        <v>18</v>
      </c>
      <c r="H154">
        <v>22</v>
      </c>
      <c r="I154" t="s">
        <v>291</v>
      </c>
      <c r="J154">
        <v>4</v>
      </c>
      <c r="K154" t="s">
        <v>223</v>
      </c>
      <c r="L154" t="s">
        <v>223</v>
      </c>
      <c r="M154" t="s">
        <v>272</v>
      </c>
      <c r="N154">
        <v>8</v>
      </c>
      <c r="O154">
        <v>16.4668668581043</v>
      </c>
      <c r="P154">
        <v>129262.879116107</v>
      </c>
    </row>
    <row r="155" spans="1:16">
      <c r="A155" t="s">
        <v>46</v>
      </c>
      <c r="B155" s="2" t="s">
        <v>336</v>
      </c>
      <c r="C155" s="2">
        <v>7</v>
      </c>
      <c r="D155" t="s">
        <v>292</v>
      </c>
      <c r="E155" t="s">
        <v>270</v>
      </c>
      <c r="F155" t="s">
        <v>293</v>
      </c>
      <c r="G155">
        <v>22</v>
      </c>
      <c r="H155">
        <v>26</v>
      </c>
      <c r="I155" t="s">
        <v>294</v>
      </c>
      <c r="J155">
        <v>4</v>
      </c>
      <c r="K155" t="s">
        <v>223</v>
      </c>
      <c r="L155" t="s">
        <v>223</v>
      </c>
      <c r="M155" t="s">
        <v>272</v>
      </c>
      <c r="N155">
        <v>9</v>
      </c>
      <c r="O155">
        <v>17.777183044247298</v>
      </c>
      <c r="P155">
        <v>52233.944520607001</v>
      </c>
    </row>
    <row r="156" spans="1:16">
      <c r="A156" t="s">
        <v>47</v>
      </c>
      <c r="B156" s="2" t="s">
        <v>336</v>
      </c>
      <c r="C156" s="2">
        <v>8</v>
      </c>
      <c r="D156" t="s">
        <v>292</v>
      </c>
      <c r="E156" t="s">
        <v>270</v>
      </c>
      <c r="F156" t="s">
        <v>293</v>
      </c>
      <c r="G156">
        <v>22</v>
      </c>
      <c r="H156">
        <v>26</v>
      </c>
      <c r="I156" t="s">
        <v>294</v>
      </c>
      <c r="J156">
        <v>4</v>
      </c>
      <c r="K156" t="s">
        <v>223</v>
      </c>
      <c r="L156" t="s">
        <v>223</v>
      </c>
      <c r="M156" t="s">
        <v>272</v>
      </c>
      <c r="N156">
        <v>9</v>
      </c>
      <c r="O156">
        <v>17.7594782353456</v>
      </c>
      <c r="P156">
        <v>52877.391664426199</v>
      </c>
    </row>
    <row r="157" spans="1:16">
      <c r="A157" t="s">
        <v>48</v>
      </c>
      <c r="B157" s="2" t="s">
        <v>336</v>
      </c>
      <c r="C157" s="2">
        <v>9</v>
      </c>
      <c r="D157" t="s">
        <v>292</v>
      </c>
      <c r="E157" t="s">
        <v>270</v>
      </c>
      <c r="F157" t="s">
        <v>293</v>
      </c>
      <c r="G157">
        <v>22</v>
      </c>
      <c r="H157">
        <v>26</v>
      </c>
      <c r="I157" t="s">
        <v>294</v>
      </c>
      <c r="J157">
        <v>4</v>
      </c>
      <c r="K157" t="s">
        <v>223</v>
      </c>
      <c r="L157" t="s">
        <v>223</v>
      </c>
      <c r="M157" t="s">
        <v>272</v>
      </c>
      <c r="N157">
        <v>9</v>
      </c>
      <c r="O157">
        <v>17.641865132252502</v>
      </c>
      <c r="P157">
        <v>57357.763060089899</v>
      </c>
    </row>
    <row r="158" spans="1:16">
      <c r="A158" t="s">
        <v>73</v>
      </c>
      <c r="B158" s="2" t="s">
        <v>338</v>
      </c>
      <c r="C158" s="2">
        <v>10</v>
      </c>
      <c r="D158" t="s">
        <v>314</v>
      </c>
      <c r="E158" t="s">
        <v>306</v>
      </c>
      <c r="F158" t="s">
        <v>293</v>
      </c>
      <c r="G158">
        <v>22</v>
      </c>
      <c r="H158">
        <v>26</v>
      </c>
      <c r="I158" t="s">
        <v>294</v>
      </c>
      <c r="J158">
        <v>4</v>
      </c>
      <c r="K158" t="s">
        <v>223</v>
      </c>
      <c r="L158" t="s">
        <v>223</v>
      </c>
      <c r="M158" t="s">
        <v>272</v>
      </c>
      <c r="N158">
        <v>9</v>
      </c>
      <c r="O158">
        <v>18.093617509361799</v>
      </c>
      <c r="P158">
        <v>41968.125503781899</v>
      </c>
    </row>
    <row r="159" spans="1:16">
      <c r="A159" t="s">
        <v>74</v>
      </c>
      <c r="B159" s="2" t="s">
        <v>338</v>
      </c>
      <c r="C159" s="2">
        <v>11</v>
      </c>
      <c r="D159" t="s">
        <v>314</v>
      </c>
      <c r="E159" t="s">
        <v>306</v>
      </c>
      <c r="F159" t="s">
        <v>293</v>
      </c>
      <c r="G159">
        <v>22</v>
      </c>
      <c r="H159">
        <v>26</v>
      </c>
      <c r="I159" t="s">
        <v>294</v>
      </c>
      <c r="J159">
        <v>4</v>
      </c>
      <c r="K159" t="s">
        <v>223</v>
      </c>
      <c r="L159" t="s">
        <v>223</v>
      </c>
      <c r="M159" t="s">
        <v>272</v>
      </c>
      <c r="N159">
        <v>9</v>
      </c>
      <c r="O159">
        <v>18.008899204315199</v>
      </c>
      <c r="P159">
        <v>44500.266912167201</v>
      </c>
    </row>
    <row r="160" spans="1:16">
      <c r="A160" t="s">
        <v>75</v>
      </c>
      <c r="B160" s="2" t="s">
        <v>338</v>
      </c>
      <c r="C160" s="2">
        <v>12</v>
      </c>
      <c r="D160" t="s">
        <v>314</v>
      </c>
      <c r="E160" t="s">
        <v>306</v>
      </c>
      <c r="F160" t="s">
        <v>293</v>
      </c>
      <c r="G160">
        <v>22</v>
      </c>
      <c r="H160">
        <v>26</v>
      </c>
      <c r="I160" t="s">
        <v>294</v>
      </c>
      <c r="J160">
        <v>4</v>
      </c>
      <c r="K160" t="s">
        <v>223</v>
      </c>
      <c r="L160" t="s">
        <v>223</v>
      </c>
      <c r="M160" t="s">
        <v>272</v>
      </c>
      <c r="N160">
        <v>9</v>
      </c>
      <c r="O160">
        <v>18.195899161969699</v>
      </c>
      <c r="P160">
        <v>39102.2557407887</v>
      </c>
    </row>
    <row r="161" spans="1:16">
      <c r="A161" t="s">
        <v>154</v>
      </c>
      <c r="B161" s="2" t="s">
        <v>344</v>
      </c>
      <c r="C161" s="2">
        <v>7</v>
      </c>
      <c r="D161" t="s">
        <v>304</v>
      </c>
      <c r="E161" t="s">
        <v>296</v>
      </c>
      <c r="F161" t="s">
        <v>293</v>
      </c>
      <c r="G161">
        <v>22</v>
      </c>
      <c r="H161">
        <v>26</v>
      </c>
      <c r="I161" t="s">
        <v>294</v>
      </c>
      <c r="J161">
        <v>4</v>
      </c>
      <c r="K161" t="s">
        <v>223</v>
      </c>
      <c r="L161" t="s">
        <v>223</v>
      </c>
      <c r="M161" t="s">
        <v>272</v>
      </c>
      <c r="N161">
        <v>9</v>
      </c>
      <c r="O161">
        <v>17.104913549544701</v>
      </c>
      <c r="P161">
        <v>83148.096168079399</v>
      </c>
    </row>
    <row r="162" spans="1:16">
      <c r="A162" t="s">
        <v>155</v>
      </c>
      <c r="B162" s="2" t="s">
        <v>344</v>
      </c>
      <c r="C162" s="2">
        <v>8</v>
      </c>
      <c r="D162" t="s">
        <v>304</v>
      </c>
      <c r="E162" t="s">
        <v>296</v>
      </c>
      <c r="F162" t="s">
        <v>293</v>
      </c>
      <c r="G162">
        <v>22</v>
      </c>
      <c r="H162">
        <v>26</v>
      </c>
      <c r="I162" t="s">
        <v>294</v>
      </c>
      <c r="J162">
        <v>4</v>
      </c>
      <c r="K162" t="s">
        <v>223</v>
      </c>
      <c r="L162" t="s">
        <v>223</v>
      </c>
      <c r="M162" t="s">
        <v>272</v>
      </c>
      <c r="N162">
        <v>9</v>
      </c>
      <c r="O162">
        <v>17.088314411103202</v>
      </c>
      <c r="P162">
        <v>84108.027812748405</v>
      </c>
    </row>
    <row r="163" spans="1:16">
      <c r="A163" t="s">
        <v>156</v>
      </c>
      <c r="B163" s="2" t="s">
        <v>344</v>
      </c>
      <c r="C163" s="2">
        <v>9</v>
      </c>
      <c r="D163" t="s">
        <v>304</v>
      </c>
      <c r="E163" t="s">
        <v>296</v>
      </c>
      <c r="F163" t="s">
        <v>293</v>
      </c>
      <c r="G163">
        <v>22</v>
      </c>
      <c r="H163">
        <v>26</v>
      </c>
      <c r="I163" t="s">
        <v>294</v>
      </c>
      <c r="J163">
        <v>4</v>
      </c>
      <c r="K163" t="s">
        <v>223</v>
      </c>
      <c r="L163" t="s">
        <v>223</v>
      </c>
      <c r="M163" t="s">
        <v>272</v>
      </c>
      <c r="N163">
        <v>9</v>
      </c>
      <c r="O163">
        <v>17.122684493248698</v>
      </c>
      <c r="P163">
        <v>82132.538710029898</v>
      </c>
    </row>
    <row r="164" spans="1:16">
      <c r="A164" t="s">
        <v>109</v>
      </c>
      <c r="B164" s="2" t="s">
        <v>238</v>
      </c>
      <c r="C164" s="2">
        <v>10</v>
      </c>
      <c r="D164" t="s">
        <v>321</v>
      </c>
      <c r="E164" t="s">
        <v>316</v>
      </c>
      <c r="F164" t="s">
        <v>322</v>
      </c>
      <c r="G164">
        <v>10</v>
      </c>
      <c r="H164">
        <v>20</v>
      </c>
      <c r="I164" s="1" t="s">
        <v>323</v>
      </c>
      <c r="J164">
        <v>10</v>
      </c>
      <c r="K164" t="s">
        <v>319</v>
      </c>
      <c r="L164" t="s">
        <v>320</v>
      </c>
      <c r="M164" t="s">
        <v>224</v>
      </c>
      <c r="N164">
        <v>2</v>
      </c>
      <c r="O164">
        <v>19.585003695552601</v>
      </c>
      <c r="P164">
        <v>14963.0002196773</v>
      </c>
    </row>
    <row r="165" spans="1:16">
      <c r="A165" t="s">
        <v>110</v>
      </c>
      <c r="B165" s="2" t="s">
        <v>238</v>
      </c>
      <c r="C165" s="2">
        <v>11</v>
      </c>
      <c r="D165" t="s">
        <v>321</v>
      </c>
      <c r="E165" t="s">
        <v>316</v>
      </c>
      <c r="F165" t="s">
        <v>322</v>
      </c>
      <c r="G165">
        <v>10</v>
      </c>
      <c r="H165">
        <v>20</v>
      </c>
      <c r="I165" s="1" t="s">
        <v>323</v>
      </c>
      <c r="J165">
        <v>10</v>
      </c>
      <c r="K165" t="s">
        <v>319</v>
      </c>
      <c r="L165" t="s">
        <v>320</v>
      </c>
      <c r="M165" t="s">
        <v>224</v>
      </c>
      <c r="N165">
        <v>2</v>
      </c>
      <c r="O165">
        <v>19.614955664295</v>
      </c>
      <c r="P165">
        <v>14656.2664083008</v>
      </c>
    </row>
    <row r="166" spans="1:16">
      <c r="A166" t="s">
        <v>111</v>
      </c>
      <c r="B166" s="2" t="s">
        <v>238</v>
      </c>
      <c r="C166" s="2">
        <v>12</v>
      </c>
      <c r="D166" t="s">
        <v>321</v>
      </c>
      <c r="E166" t="s">
        <v>316</v>
      </c>
      <c r="F166" t="s">
        <v>322</v>
      </c>
      <c r="G166">
        <v>10</v>
      </c>
      <c r="H166">
        <v>20</v>
      </c>
      <c r="I166" s="1" t="s">
        <v>323</v>
      </c>
      <c r="J166">
        <v>10</v>
      </c>
      <c r="K166" t="s">
        <v>319</v>
      </c>
      <c r="L166" t="s">
        <v>320</v>
      </c>
      <c r="M166" t="s">
        <v>224</v>
      </c>
      <c r="N166">
        <v>2</v>
      </c>
      <c r="O166">
        <v>19.4413344318172</v>
      </c>
      <c r="P166">
        <v>16525.940548058199</v>
      </c>
    </row>
    <row r="167" spans="1:16">
      <c r="A167" t="s">
        <v>133</v>
      </c>
      <c r="B167" s="2" t="s">
        <v>342</v>
      </c>
      <c r="C167" s="2">
        <v>10</v>
      </c>
      <c r="D167" t="s">
        <v>326</v>
      </c>
      <c r="E167" t="s">
        <v>325</v>
      </c>
      <c r="F167" t="s">
        <v>322</v>
      </c>
      <c r="G167">
        <v>10</v>
      </c>
      <c r="H167">
        <v>20</v>
      </c>
      <c r="I167" s="1" t="s">
        <v>323</v>
      </c>
      <c r="J167">
        <v>10</v>
      </c>
      <c r="K167" t="s">
        <v>319</v>
      </c>
      <c r="L167" t="s">
        <v>320</v>
      </c>
      <c r="M167" t="s">
        <v>224</v>
      </c>
      <c r="N167">
        <v>2</v>
      </c>
      <c r="O167">
        <v>19.451272823160402</v>
      </c>
      <c r="P167">
        <v>16412.753102827199</v>
      </c>
    </row>
    <row r="168" spans="1:16">
      <c r="A168" t="s">
        <v>134</v>
      </c>
      <c r="B168" s="2" t="s">
        <v>342</v>
      </c>
      <c r="C168" s="2">
        <v>11</v>
      </c>
      <c r="D168" t="s">
        <v>326</v>
      </c>
      <c r="E168" t="s">
        <v>325</v>
      </c>
      <c r="F168" t="s">
        <v>322</v>
      </c>
      <c r="G168">
        <v>10</v>
      </c>
      <c r="H168">
        <v>20</v>
      </c>
      <c r="I168" s="1" t="s">
        <v>323</v>
      </c>
      <c r="J168">
        <v>10</v>
      </c>
      <c r="K168" t="s">
        <v>319</v>
      </c>
      <c r="L168" t="s">
        <v>320</v>
      </c>
      <c r="M168" t="s">
        <v>224</v>
      </c>
      <c r="N168">
        <v>2</v>
      </c>
      <c r="O168">
        <v>19.271100325564099</v>
      </c>
      <c r="P168">
        <v>18590.530460073802</v>
      </c>
    </row>
    <row r="169" spans="1:16">
      <c r="A169" t="s">
        <v>135</v>
      </c>
      <c r="B169" s="2" t="s">
        <v>342</v>
      </c>
      <c r="C169" s="2">
        <v>12</v>
      </c>
      <c r="D169" t="s">
        <v>326</v>
      </c>
      <c r="E169" t="s">
        <v>325</v>
      </c>
      <c r="F169" t="s">
        <v>322</v>
      </c>
      <c r="G169">
        <v>10</v>
      </c>
      <c r="H169">
        <v>20</v>
      </c>
      <c r="I169" s="1" t="s">
        <v>323</v>
      </c>
      <c r="J169">
        <v>10</v>
      </c>
      <c r="K169" t="s">
        <v>319</v>
      </c>
      <c r="L169" t="s">
        <v>320</v>
      </c>
      <c r="M169" t="s">
        <v>224</v>
      </c>
      <c r="N169">
        <v>2</v>
      </c>
      <c r="O169">
        <v>19.071458381306599</v>
      </c>
      <c r="P169">
        <v>21342.696744140801</v>
      </c>
    </row>
    <row r="170" spans="1:16">
      <c r="A170" t="s">
        <v>157</v>
      </c>
      <c r="B170" s="2" t="s">
        <v>344</v>
      </c>
      <c r="C170" s="2">
        <v>10</v>
      </c>
      <c r="D170" t="s">
        <v>330</v>
      </c>
      <c r="E170" t="s">
        <v>328</v>
      </c>
      <c r="F170" t="s">
        <v>322</v>
      </c>
      <c r="G170">
        <v>10</v>
      </c>
      <c r="H170">
        <v>20</v>
      </c>
      <c r="I170" s="1" t="s">
        <v>323</v>
      </c>
      <c r="J170">
        <v>10</v>
      </c>
      <c r="K170" t="s">
        <v>319</v>
      </c>
      <c r="L170" t="s">
        <v>329</v>
      </c>
      <c r="M170" t="s">
        <v>272</v>
      </c>
      <c r="N170">
        <v>2</v>
      </c>
      <c r="O170">
        <v>15.1537531597171</v>
      </c>
      <c r="P170">
        <v>320505.133390737</v>
      </c>
    </row>
    <row r="171" spans="1:16">
      <c r="A171" t="s">
        <v>158</v>
      </c>
      <c r="B171" s="2" t="s">
        <v>344</v>
      </c>
      <c r="C171" s="2">
        <v>11</v>
      </c>
      <c r="D171" t="s">
        <v>330</v>
      </c>
      <c r="E171" t="s">
        <v>328</v>
      </c>
      <c r="F171" t="s">
        <v>322</v>
      </c>
      <c r="G171">
        <v>10</v>
      </c>
      <c r="H171">
        <v>20</v>
      </c>
      <c r="I171" s="1" t="s">
        <v>323</v>
      </c>
      <c r="J171">
        <v>10</v>
      </c>
      <c r="K171" t="s">
        <v>319</v>
      </c>
      <c r="L171" t="s">
        <v>329</v>
      </c>
      <c r="M171" t="s">
        <v>272</v>
      </c>
      <c r="N171">
        <v>2</v>
      </c>
      <c r="O171">
        <v>15.254497412619701</v>
      </c>
      <c r="P171">
        <v>298936.502841065</v>
      </c>
    </row>
    <row r="172" spans="1:16">
      <c r="A172" t="s">
        <v>159</v>
      </c>
      <c r="B172" s="2" t="s">
        <v>344</v>
      </c>
      <c r="C172" s="2">
        <v>12</v>
      </c>
      <c r="D172" t="s">
        <v>330</v>
      </c>
      <c r="E172" t="s">
        <v>328</v>
      </c>
      <c r="F172" t="s">
        <v>322</v>
      </c>
      <c r="G172">
        <v>10</v>
      </c>
      <c r="H172">
        <v>20</v>
      </c>
      <c r="I172" s="1" t="s">
        <v>323</v>
      </c>
      <c r="J172">
        <v>10</v>
      </c>
      <c r="K172" t="s">
        <v>319</v>
      </c>
      <c r="L172" t="s">
        <v>329</v>
      </c>
      <c r="M172" t="s">
        <v>272</v>
      </c>
      <c r="N172">
        <v>2</v>
      </c>
      <c r="O172">
        <v>15.0358122333182</v>
      </c>
      <c r="P172">
        <v>347740.78077104402</v>
      </c>
    </row>
    <row r="173" spans="1:16">
      <c r="A173" t="s">
        <v>187</v>
      </c>
      <c r="B173" s="2" t="s">
        <v>346</v>
      </c>
      <c r="C173" s="2">
        <v>10</v>
      </c>
      <c r="D173" t="s">
        <v>333</v>
      </c>
      <c r="E173" t="s">
        <v>332</v>
      </c>
      <c r="F173" t="s">
        <v>322</v>
      </c>
      <c r="G173">
        <v>10</v>
      </c>
      <c r="H173">
        <v>20</v>
      </c>
      <c r="I173" s="1" t="s">
        <v>323</v>
      </c>
      <c r="J173">
        <v>10</v>
      </c>
      <c r="K173" t="s">
        <v>319</v>
      </c>
      <c r="L173" t="s">
        <v>329</v>
      </c>
      <c r="M173" t="s">
        <v>272</v>
      </c>
      <c r="N173">
        <v>2</v>
      </c>
      <c r="O173">
        <v>16.642209184669099</v>
      </c>
      <c r="P173">
        <v>114502.271278698</v>
      </c>
    </row>
    <row r="174" spans="1:16">
      <c r="A174" t="s">
        <v>188</v>
      </c>
      <c r="B174" s="2" t="s">
        <v>346</v>
      </c>
      <c r="C174" s="2">
        <v>11</v>
      </c>
      <c r="D174" t="s">
        <v>333</v>
      </c>
      <c r="E174" t="s">
        <v>332</v>
      </c>
      <c r="F174" t="s">
        <v>322</v>
      </c>
      <c r="G174">
        <v>10</v>
      </c>
      <c r="H174">
        <v>20</v>
      </c>
      <c r="I174" s="1" t="s">
        <v>323</v>
      </c>
      <c r="J174">
        <v>10</v>
      </c>
      <c r="K174" t="s">
        <v>319</v>
      </c>
      <c r="L174" t="s">
        <v>329</v>
      </c>
      <c r="M174" t="s">
        <v>272</v>
      </c>
      <c r="N174">
        <v>2</v>
      </c>
      <c r="O174">
        <v>16.552439942927801</v>
      </c>
      <c r="P174">
        <v>121835.56147184101</v>
      </c>
    </row>
    <row r="175" spans="1:16">
      <c r="A175" t="s">
        <v>189</v>
      </c>
      <c r="B175" s="2" t="s">
        <v>346</v>
      </c>
      <c r="C175" s="2">
        <v>12</v>
      </c>
      <c r="D175" t="s">
        <v>333</v>
      </c>
      <c r="E175" t="s">
        <v>332</v>
      </c>
      <c r="F175" t="s">
        <v>322</v>
      </c>
      <c r="G175">
        <v>10</v>
      </c>
      <c r="H175">
        <v>20</v>
      </c>
      <c r="I175" s="1" t="s">
        <v>323</v>
      </c>
      <c r="J175">
        <v>10</v>
      </c>
      <c r="K175" t="s">
        <v>319</v>
      </c>
      <c r="L175" t="s">
        <v>329</v>
      </c>
      <c r="M175" t="s">
        <v>272</v>
      </c>
      <c r="N175">
        <v>2</v>
      </c>
      <c r="O175">
        <v>16.565760640531199</v>
      </c>
      <c r="P175">
        <v>120718.415816657</v>
      </c>
    </row>
    <row r="176" spans="1:16">
      <c r="A176" t="s">
        <v>202</v>
      </c>
      <c r="B176" s="2" t="s">
        <v>347</v>
      </c>
      <c r="C176" s="2">
        <v>10</v>
      </c>
      <c r="D176" t="s">
        <v>351</v>
      </c>
      <c r="E176" t="s">
        <v>351</v>
      </c>
      <c r="F176" t="s">
        <v>351</v>
      </c>
      <c r="G176" t="s">
        <v>351</v>
      </c>
      <c r="H176" t="s">
        <v>351</v>
      </c>
      <c r="I176" t="s">
        <v>351</v>
      </c>
      <c r="J176" t="s">
        <v>351</v>
      </c>
      <c r="K176" t="s">
        <v>351</v>
      </c>
      <c r="L176" t="s">
        <v>351</v>
      </c>
      <c r="M176" t="s">
        <v>351</v>
      </c>
      <c r="N176" t="s">
        <v>351</v>
      </c>
      <c r="O176" t="s">
        <v>15</v>
      </c>
      <c r="P176" t="s">
        <v>15</v>
      </c>
    </row>
    <row r="177" spans="1:16">
      <c r="A177" t="s">
        <v>203</v>
      </c>
      <c r="B177" s="2" t="s">
        <v>347</v>
      </c>
      <c r="C177" s="2">
        <v>11</v>
      </c>
      <c r="D177" t="s">
        <v>351</v>
      </c>
      <c r="E177" t="s">
        <v>351</v>
      </c>
      <c r="F177" t="s">
        <v>351</v>
      </c>
      <c r="G177" t="s">
        <v>351</v>
      </c>
      <c r="H177" t="s">
        <v>351</v>
      </c>
      <c r="I177" t="s">
        <v>351</v>
      </c>
      <c r="J177" t="s">
        <v>351</v>
      </c>
      <c r="K177" t="s">
        <v>351</v>
      </c>
      <c r="L177" t="s">
        <v>351</v>
      </c>
      <c r="M177" t="s">
        <v>351</v>
      </c>
      <c r="O177">
        <v>28.824576173681201</v>
      </c>
      <c r="P177">
        <v>25.127079445621298</v>
      </c>
    </row>
    <row r="178" spans="1:16">
      <c r="A178" t="s">
        <v>204</v>
      </c>
      <c r="B178" s="2" t="s">
        <v>347</v>
      </c>
      <c r="C178" s="2">
        <v>12</v>
      </c>
      <c r="D178" t="s">
        <v>351</v>
      </c>
      <c r="E178" t="s">
        <v>351</v>
      </c>
      <c r="F178" t="s">
        <v>351</v>
      </c>
      <c r="G178" t="s">
        <v>351</v>
      </c>
      <c r="H178" t="s">
        <v>351</v>
      </c>
      <c r="I178" t="s">
        <v>351</v>
      </c>
      <c r="J178" t="s">
        <v>351</v>
      </c>
      <c r="K178" t="s">
        <v>351</v>
      </c>
      <c r="L178" t="s">
        <v>351</v>
      </c>
      <c r="M178" t="s">
        <v>351</v>
      </c>
      <c r="N178" t="s">
        <v>351</v>
      </c>
      <c r="O178" t="s">
        <v>15</v>
      </c>
      <c r="P178" t="s">
        <v>15</v>
      </c>
    </row>
    <row r="179" spans="1:16">
      <c r="A179" t="s">
        <v>85</v>
      </c>
      <c r="B179" s="2" t="s">
        <v>339</v>
      </c>
      <c r="C179" s="2">
        <v>10</v>
      </c>
      <c r="D179" t="s">
        <v>350</v>
      </c>
      <c r="E179" t="s">
        <v>350</v>
      </c>
      <c r="F179" t="s">
        <v>350</v>
      </c>
      <c r="G179" t="s">
        <v>350</v>
      </c>
      <c r="H179" t="s">
        <v>350</v>
      </c>
      <c r="I179" t="s">
        <v>350</v>
      </c>
      <c r="J179" t="s">
        <v>350</v>
      </c>
      <c r="K179" t="s">
        <v>350</v>
      </c>
      <c r="L179" t="s">
        <v>350</v>
      </c>
      <c r="M179" t="s">
        <v>350</v>
      </c>
      <c r="N179" t="s">
        <v>350</v>
      </c>
      <c r="O179">
        <v>34.341023794619701</v>
      </c>
      <c r="P179">
        <v>0.55387740433269095</v>
      </c>
    </row>
    <row r="180" spans="1:16">
      <c r="A180" t="s">
        <v>86</v>
      </c>
      <c r="B180" s="2" t="s">
        <v>339</v>
      </c>
      <c r="C180" s="2">
        <v>11</v>
      </c>
      <c r="D180" t="s">
        <v>350</v>
      </c>
      <c r="E180" t="s">
        <v>350</v>
      </c>
      <c r="F180" t="s">
        <v>350</v>
      </c>
      <c r="G180" t="s">
        <v>350</v>
      </c>
      <c r="H180" t="s">
        <v>350</v>
      </c>
      <c r="I180" t="s">
        <v>350</v>
      </c>
      <c r="J180" t="s">
        <v>350</v>
      </c>
      <c r="K180" t="s">
        <v>350</v>
      </c>
      <c r="L180" t="s">
        <v>350</v>
      </c>
      <c r="M180" t="s">
        <v>350</v>
      </c>
      <c r="N180" t="s">
        <v>350</v>
      </c>
      <c r="O180" t="s">
        <v>15</v>
      </c>
      <c r="P180" t="s">
        <v>15</v>
      </c>
    </row>
    <row r="181" spans="1:16">
      <c r="A181" t="s">
        <v>87</v>
      </c>
      <c r="B181" s="2" t="s">
        <v>339</v>
      </c>
      <c r="C181" s="2">
        <v>12</v>
      </c>
      <c r="D181" t="s">
        <v>350</v>
      </c>
      <c r="E181" t="s">
        <v>350</v>
      </c>
      <c r="F181" t="s">
        <v>350</v>
      </c>
      <c r="G181" t="s">
        <v>350</v>
      </c>
      <c r="H181" t="s">
        <v>350</v>
      </c>
      <c r="I181" t="s">
        <v>350</v>
      </c>
      <c r="J181" t="s">
        <v>350</v>
      </c>
      <c r="K181" t="s">
        <v>350</v>
      </c>
      <c r="L181" t="s">
        <v>350</v>
      </c>
      <c r="M181" t="s">
        <v>350</v>
      </c>
      <c r="N181" t="s">
        <v>350</v>
      </c>
      <c r="O181" t="s">
        <v>15</v>
      </c>
      <c r="P181" t="s">
        <v>15</v>
      </c>
    </row>
    <row r="182" spans="1:16">
      <c r="A182" t="s">
        <v>97</v>
      </c>
      <c r="B182" s="2" t="s">
        <v>340</v>
      </c>
      <c r="C182" s="2">
        <v>10</v>
      </c>
      <c r="D182" t="s">
        <v>315</v>
      </c>
      <c r="E182" t="s">
        <v>316</v>
      </c>
      <c r="F182" t="s">
        <v>317</v>
      </c>
      <c r="G182">
        <v>0</v>
      </c>
      <c r="H182">
        <v>10</v>
      </c>
      <c r="I182" t="s">
        <v>318</v>
      </c>
      <c r="J182">
        <v>10</v>
      </c>
      <c r="K182" t="s">
        <v>319</v>
      </c>
      <c r="L182" t="s">
        <v>320</v>
      </c>
      <c r="M182" t="s">
        <v>224</v>
      </c>
      <c r="N182">
        <v>1</v>
      </c>
      <c r="O182">
        <v>18.5329977957838</v>
      </c>
      <c r="P182">
        <v>30971.5249471145</v>
      </c>
    </row>
    <row r="183" spans="1:16">
      <c r="A183" t="s">
        <v>98</v>
      </c>
      <c r="B183" s="2" t="s">
        <v>340</v>
      </c>
      <c r="C183" s="2">
        <v>11</v>
      </c>
      <c r="D183" t="s">
        <v>315</v>
      </c>
      <c r="E183" t="s">
        <v>316</v>
      </c>
      <c r="F183" t="s">
        <v>317</v>
      </c>
      <c r="G183">
        <v>0</v>
      </c>
      <c r="H183">
        <v>10</v>
      </c>
      <c r="I183" t="s">
        <v>318</v>
      </c>
      <c r="J183">
        <v>10</v>
      </c>
      <c r="K183" t="s">
        <v>319</v>
      </c>
      <c r="L183" t="s">
        <v>320</v>
      </c>
      <c r="M183" t="s">
        <v>224</v>
      </c>
      <c r="N183">
        <v>1</v>
      </c>
      <c r="O183">
        <v>18.3214754304637</v>
      </c>
      <c r="P183">
        <v>35849.911748731603</v>
      </c>
    </row>
    <row r="184" spans="1:16">
      <c r="A184" t="s">
        <v>99</v>
      </c>
      <c r="B184" s="2" t="s">
        <v>340</v>
      </c>
      <c r="C184" s="2">
        <v>12</v>
      </c>
      <c r="D184" t="s">
        <v>315</v>
      </c>
      <c r="E184" t="s">
        <v>316</v>
      </c>
      <c r="F184" t="s">
        <v>317</v>
      </c>
      <c r="G184">
        <v>0</v>
      </c>
      <c r="H184">
        <v>10</v>
      </c>
      <c r="I184" t="s">
        <v>318</v>
      </c>
      <c r="J184">
        <v>10</v>
      </c>
      <c r="K184" t="s">
        <v>319</v>
      </c>
      <c r="L184" t="s">
        <v>320</v>
      </c>
      <c r="M184" t="s">
        <v>224</v>
      </c>
      <c r="N184">
        <v>1</v>
      </c>
      <c r="O184">
        <v>18.9148315614819</v>
      </c>
      <c r="P184">
        <v>23784.185217921698</v>
      </c>
    </row>
    <row r="185" spans="1:16">
      <c r="A185" t="s">
        <v>121</v>
      </c>
      <c r="B185" s="2" t="s">
        <v>341</v>
      </c>
      <c r="C185" s="2">
        <v>10</v>
      </c>
      <c r="D185" t="s">
        <v>324</v>
      </c>
      <c r="E185" t="s">
        <v>325</v>
      </c>
      <c r="F185" t="s">
        <v>317</v>
      </c>
      <c r="G185">
        <v>0</v>
      </c>
      <c r="H185">
        <v>10</v>
      </c>
      <c r="I185" t="s">
        <v>318</v>
      </c>
      <c r="J185">
        <v>10</v>
      </c>
      <c r="K185" t="s">
        <v>319</v>
      </c>
      <c r="L185" t="s">
        <v>320</v>
      </c>
      <c r="M185" t="s">
        <v>224</v>
      </c>
      <c r="N185">
        <v>1</v>
      </c>
      <c r="O185">
        <v>18.101696552788901</v>
      </c>
      <c r="P185">
        <v>41734.309406765999</v>
      </c>
    </row>
    <row r="186" spans="1:16">
      <c r="A186" t="s">
        <v>122</v>
      </c>
      <c r="B186" s="2" t="s">
        <v>341</v>
      </c>
      <c r="C186" s="2">
        <v>11</v>
      </c>
      <c r="D186" t="s">
        <v>324</v>
      </c>
      <c r="E186" t="s">
        <v>325</v>
      </c>
      <c r="F186" t="s">
        <v>317</v>
      </c>
      <c r="G186">
        <v>0</v>
      </c>
      <c r="H186">
        <v>10</v>
      </c>
      <c r="I186" t="s">
        <v>318</v>
      </c>
      <c r="J186">
        <v>10</v>
      </c>
      <c r="K186" t="s">
        <v>319</v>
      </c>
      <c r="L186" t="s">
        <v>320</v>
      </c>
      <c r="M186" t="s">
        <v>224</v>
      </c>
      <c r="N186">
        <v>1</v>
      </c>
      <c r="O186">
        <v>18.044150625383899</v>
      </c>
      <c r="P186">
        <v>43428.589565971699</v>
      </c>
    </row>
    <row r="187" spans="1:16">
      <c r="A187" t="s">
        <v>123</v>
      </c>
      <c r="B187" s="2" t="s">
        <v>341</v>
      </c>
      <c r="C187" s="2">
        <v>12</v>
      </c>
      <c r="D187" t="s">
        <v>324</v>
      </c>
      <c r="E187" t="s">
        <v>325</v>
      </c>
      <c r="F187" t="s">
        <v>317</v>
      </c>
      <c r="G187">
        <v>0</v>
      </c>
      <c r="H187">
        <v>10</v>
      </c>
      <c r="I187" t="s">
        <v>318</v>
      </c>
      <c r="J187">
        <v>10</v>
      </c>
      <c r="K187" t="s">
        <v>319</v>
      </c>
      <c r="L187" t="s">
        <v>320</v>
      </c>
      <c r="M187" t="s">
        <v>224</v>
      </c>
      <c r="N187">
        <v>1</v>
      </c>
      <c r="O187">
        <v>18.311192340235301</v>
      </c>
      <c r="P187">
        <v>36105.749297738897</v>
      </c>
    </row>
    <row r="188" spans="1:16">
      <c r="A188" t="s">
        <v>145</v>
      </c>
      <c r="B188" s="2" t="s">
        <v>343</v>
      </c>
      <c r="C188" s="2">
        <v>10</v>
      </c>
      <c r="D188" t="s">
        <v>327</v>
      </c>
      <c r="E188" t="s">
        <v>328</v>
      </c>
      <c r="F188" t="s">
        <v>317</v>
      </c>
      <c r="G188">
        <v>0</v>
      </c>
      <c r="H188">
        <v>10</v>
      </c>
      <c r="I188" t="s">
        <v>318</v>
      </c>
      <c r="J188">
        <v>10</v>
      </c>
      <c r="K188" t="s">
        <v>319</v>
      </c>
      <c r="L188" t="s">
        <v>329</v>
      </c>
      <c r="M188" t="s">
        <v>272</v>
      </c>
      <c r="N188">
        <v>1</v>
      </c>
      <c r="O188">
        <v>15.9429039113895</v>
      </c>
      <c r="P188">
        <v>185709.069498228</v>
      </c>
    </row>
    <row r="189" spans="1:16">
      <c r="A189" t="s">
        <v>146</v>
      </c>
      <c r="B189" s="2" t="s">
        <v>343</v>
      </c>
      <c r="C189" s="2">
        <v>11</v>
      </c>
      <c r="D189" t="s">
        <v>327</v>
      </c>
      <c r="E189" t="s">
        <v>328</v>
      </c>
      <c r="F189" t="s">
        <v>317</v>
      </c>
      <c r="G189">
        <v>0</v>
      </c>
      <c r="H189">
        <v>10</v>
      </c>
      <c r="I189" t="s">
        <v>318</v>
      </c>
      <c r="J189">
        <v>10</v>
      </c>
      <c r="K189" t="s">
        <v>319</v>
      </c>
      <c r="L189" t="s">
        <v>329</v>
      </c>
      <c r="M189" t="s">
        <v>272</v>
      </c>
      <c r="N189">
        <v>1</v>
      </c>
      <c r="O189">
        <v>16.054043977649599</v>
      </c>
      <c r="P189">
        <v>171970.89389862801</v>
      </c>
    </row>
    <row r="190" spans="1:16">
      <c r="A190" t="s">
        <v>147</v>
      </c>
      <c r="B190" s="2" t="s">
        <v>343</v>
      </c>
      <c r="C190" s="2">
        <v>12</v>
      </c>
      <c r="D190" t="s">
        <v>327</v>
      </c>
      <c r="E190" t="s">
        <v>328</v>
      </c>
      <c r="F190" t="s">
        <v>317</v>
      </c>
      <c r="G190">
        <v>0</v>
      </c>
      <c r="H190">
        <v>10</v>
      </c>
      <c r="I190" t="s">
        <v>318</v>
      </c>
      <c r="J190">
        <v>10</v>
      </c>
      <c r="K190" t="s">
        <v>319</v>
      </c>
      <c r="L190" t="s">
        <v>329</v>
      </c>
      <c r="M190" t="s">
        <v>272</v>
      </c>
      <c r="N190">
        <v>1</v>
      </c>
      <c r="O190">
        <v>15.8313582576338</v>
      </c>
      <c r="P190">
        <v>200600.99708593101</v>
      </c>
    </row>
    <row r="191" spans="1:16">
      <c r="A191" t="s">
        <v>172</v>
      </c>
      <c r="B191" s="2" t="s">
        <v>345</v>
      </c>
      <c r="C191" s="2">
        <v>10</v>
      </c>
      <c r="D191" t="s">
        <v>331</v>
      </c>
      <c r="E191" t="s">
        <v>332</v>
      </c>
      <c r="F191" t="s">
        <v>317</v>
      </c>
      <c r="G191">
        <v>0</v>
      </c>
      <c r="H191">
        <v>10</v>
      </c>
      <c r="I191" t="s">
        <v>318</v>
      </c>
      <c r="J191">
        <v>10</v>
      </c>
      <c r="K191" t="s">
        <v>319</v>
      </c>
      <c r="L191" t="s">
        <v>329</v>
      </c>
      <c r="M191" t="s">
        <v>272</v>
      </c>
      <c r="N191">
        <v>1</v>
      </c>
      <c r="O191">
        <v>16.001568899156801</v>
      </c>
      <c r="P191">
        <v>178325.94674233301</v>
      </c>
    </row>
    <row r="192" spans="1:16">
      <c r="A192" t="s">
        <v>173</v>
      </c>
      <c r="B192" s="2" t="s">
        <v>345</v>
      </c>
      <c r="C192" s="2">
        <v>11</v>
      </c>
      <c r="D192" t="s">
        <v>331</v>
      </c>
      <c r="E192" t="s">
        <v>332</v>
      </c>
      <c r="F192" t="s">
        <v>317</v>
      </c>
      <c r="G192">
        <v>0</v>
      </c>
      <c r="H192">
        <v>10</v>
      </c>
      <c r="I192" t="s">
        <v>318</v>
      </c>
      <c r="J192">
        <v>10</v>
      </c>
      <c r="K192" t="s">
        <v>319</v>
      </c>
      <c r="L192" t="s">
        <v>329</v>
      </c>
      <c r="M192" t="s">
        <v>272</v>
      </c>
      <c r="N192">
        <v>1</v>
      </c>
      <c r="O192">
        <v>16.115096744556599</v>
      </c>
      <c r="P192">
        <v>164861.506026822</v>
      </c>
    </row>
    <row r="193" spans="1:16">
      <c r="A193" t="s">
        <v>174</v>
      </c>
      <c r="B193" s="2" t="s">
        <v>345</v>
      </c>
      <c r="C193" s="2">
        <v>12</v>
      </c>
      <c r="D193" t="s">
        <v>331</v>
      </c>
      <c r="E193" t="s">
        <v>332</v>
      </c>
      <c r="F193" t="s">
        <v>317</v>
      </c>
      <c r="G193">
        <v>0</v>
      </c>
      <c r="H193">
        <v>10</v>
      </c>
      <c r="I193" t="s">
        <v>318</v>
      </c>
      <c r="J193">
        <v>10</v>
      </c>
      <c r="K193" t="s">
        <v>319</v>
      </c>
      <c r="L193" t="s">
        <v>329</v>
      </c>
      <c r="M193" t="s">
        <v>272</v>
      </c>
      <c r="N193">
        <v>1</v>
      </c>
      <c r="O193">
        <v>15.8924306093024</v>
      </c>
      <c r="P193">
        <v>192305.41777384601</v>
      </c>
    </row>
    <row r="194" spans="1:16">
      <c r="A194" t="s">
        <v>160</v>
      </c>
      <c r="B194" s="2" t="s">
        <v>344</v>
      </c>
      <c r="C194" s="2">
        <v>13</v>
      </c>
      <c r="D194" t="s">
        <v>251</v>
      </c>
      <c r="E194" t="s">
        <v>250</v>
      </c>
      <c r="F194" t="s">
        <v>226</v>
      </c>
      <c r="G194">
        <v>2</v>
      </c>
      <c r="H194">
        <v>6</v>
      </c>
      <c r="I194" t="s">
        <v>227</v>
      </c>
      <c r="J194">
        <v>4</v>
      </c>
      <c r="K194" t="s">
        <v>223</v>
      </c>
      <c r="L194" t="s">
        <v>223</v>
      </c>
      <c r="M194" t="s">
        <v>224</v>
      </c>
      <c r="N194">
        <v>2</v>
      </c>
      <c r="O194">
        <v>28.2285378146162</v>
      </c>
      <c r="P194">
        <v>37.944371726793598</v>
      </c>
    </row>
    <row r="195" spans="1:16">
      <c r="A195" t="s">
        <v>161</v>
      </c>
      <c r="B195" s="2" t="s">
        <v>344</v>
      </c>
      <c r="C195" s="2">
        <v>14</v>
      </c>
      <c r="D195" t="s">
        <v>251</v>
      </c>
      <c r="E195" t="s">
        <v>250</v>
      </c>
      <c r="F195" t="s">
        <v>226</v>
      </c>
      <c r="G195">
        <v>2</v>
      </c>
      <c r="H195">
        <v>6</v>
      </c>
      <c r="I195" t="s">
        <v>227</v>
      </c>
      <c r="J195">
        <v>4</v>
      </c>
      <c r="K195" t="s">
        <v>223</v>
      </c>
      <c r="L195" t="s">
        <v>223</v>
      </c>
      <c r="M195" t="s">
        <v>224</v>
      </c>
      <c r="N195">
        <v>2</v>
      </c>
      <c r="O195">
        <v>28.172520624273901</v>
      </c>
      <c r="P195">
        <v>39.443072830289097</v>
      </c>
    </row>
    <row r="196" spans="1:16">
      <c r="A196" t="s">
        <v>162</v>
      </c>
      <c r="B196" s="2" t="s">
        <v>344</v>
      </c>
      <c r="C196" s="2">
        <v>15</v>
      </c>
      <c r="D196" t="s">
        <v>251</v>
      </c>
      <c r="E196" t="s">
        <v>250</v>
      </c>
      <c r="F196" t="s">
        <v>226</v>
      </c>
      <c r="G196">
        <v>2</v>
      </c>
      <c r="H196">
        <v>6</v>
      </c>
      <c r="I196" t="s">
        <v>227</v>
      </c>
      <c r="J196">
        <v>4</v>
      </c>
      <c r="K196" t="s">
        <v>223</v>
      </c>
      <c r="L196" t="s">
        <v>223</v>
      </c>
      <c r="M196" t="s">
        <v>224</v>
      </c>
      <c r="N196">
        <v>2</v>
      </c>
      <c r="O196">
        <v>27.577697436758999</v>
      </c>
      <c r="P196">
        <v>59.512904759613797</v>
      </c>
    </row>
    <row r="197" spans="1:16">
      <c r="A197" t="s">
        <v>175</v>
      </c>
      <c r="B197" s="2" t="s">
        <v>345</v>
      </c>
      <c r="C197" s="2">
        <v>13</v>
      </c>
      <c r="D197" t="s">
        <v>305</v>
      </c>
      <c r="E197" t="s">
        <v>306</v>
      </c>
      <c r="F197" t="s">
        <v>271</v>
      </c>
      <c r="G197">
        <v>0</v>
      </c>
      <c r="H197">
        <v>2</v>
      </c>
      <c r="I197" t="s">
        <v>222</v>
      </c>
      <c r="J197">
        <v>2</v>
      </c>
      <c r="K197" t="s">
        <v>223</v>
      </c>
      <c r="L197" t="s">
        <v>223</v>
      </c>
      <c r="M197" t="s">
        <v>272</v>
      </c>
      <c r="N197">
        <v>1</v>
      </c>
      <c r="O197">
        <v>24.224378444899401</v>
      </c>
      <c r="P197">
        <v>604.91927624351501</v>
      </c>
    </row>
    <row r="198" spans="1:16">
      <c r="A198" t="s">
        <v>176</v>
      </c>
      <c r="B198" s="2" t="s">
        <v>345</v>
      </c>
      <c r="C198" s="2">
        <v>14</v>
      </c>
      <c r="D198" t="s">
        <v>305</v>
      </c>
      <c r="E198" t="s">
        <v>306</v>
      </c>
      <c r="F198" t="s">
        <v>271</v>
      </c>
      <c r="G198">
        <v>0</v>
      </c>
      <c r="H198">
        <v>2</v>
      </c>
      <c r="I198" t="s">
        <v>222</v>
      </c>
      <c r="J198">
        <v>2</v>
      </c>
      <c r="K198" t="s">
        <v>223</v>
      </c>
      <c r="L198" t="s">
        <v>223</v>
      </c>
      <c r="M198" t="s">
        <v>272</v>
      </c>
      <c r="N198">
        <v>1</v>
      </c>
      <c r="O198">
        <v>24.262560317883398</v>
      </c>
      <c r="P198">
        <v>589.15618912913396</v>
      </c>
    </row>
    <row r="199" spans="1:16">
      <c r="A199" t="s">
        <v>177</v>
      </c>
      <c r="B199" s="2" t="s">
        <v>345</v>
      </c>
      <c r="C199" s="2">
        <v>15</v>
      </c>
      <c r="D199" t="s">
        <v>305</v>
      </c>
      <c r="E199" t="s">
        <v>306</v>
      </c>
      <c r="F199" t="s">
        <v>271</v>
      </c>
      <c r="G199">
        <v>0</v>
      </c>
      <c r="H199">
        <v>2</v>
      </c>
      <c r="I199" t="s">
        <v>222</v>
      </c>
      <c r="J199">
        <v>2</v>
      </c>
      <c r="K199" t="s">
        <v>223</v>
      </c>
      <c r="L199" t="s">
        <v>223</v>
      </c>
      <c r="M199" t="s">
        <v>272</v>
      </c>
      <c r="N199">
        <v>1</v>
      </c>
      <c r="O199">
        <v>24.158739235176501</v>
      </c>
      <c r="P199">
        <v>633.00994657746503</v>
      </c>
    </row>
    <row r="200" spans="1:16">
      <c r="A200" t="s">
        <v>190</v>
      </c>
      <c r="B200" s="2" t="s">
        <v>346</v>
      </c>
      <c r="C200" s="2">
        <v>13</v>
      </c>
      <c r="D200" t="s">
        <v>305</v>
      </c>
      <c r="E200" t="s">
        <v>306</v>
      </c>
      <c r="F200" t="s">
        <v>271</v>
      </c>
      <c r="G200">
        <v>0</v>
      </c>
      <c r="H200">
        <v>2</v>
      </c>
      <c r="I200" t="s">
        <v>222</v>
      </c>
      <c r="J200">
        <v>2</v>
      </c>
      <c r="K200" t="s">
        <v>223</v>
      </c>
      <c r="L200" t="s">
        <v>223</v>
      </c>
      <c r="M200" t="s">
        <v>272</v>
      </c>
      <c r="N200">
        <v>1</v>
      </c>
      <c r="O200">
        <v>19.1824207280808</v>
      </c>
      <c r="P200">
        <v>19766.259924129099</v>
      </c>
    </row>
    <row r="201" spans="1:16">
      <c r="A201" t="s">
        <v>191</v>
      </c>
      <c r="B201" s="2" t="s">
        <v>346</v>
      </c>
      <c r="C201" s="2">
        <v>14</v>
      </c>
      <c r="D201" t="s">
        <v>305</v>
      </c>
      <c r="E201" t="s">
        <v>306</v>
      </c>
      <c r="F201" t="s">
        <v>271</v>
      </c>
      <c r="G201">
        <v>0</v>
      </c>
      <c r="H201">
        <v>2</v>
      </c>
      <c r="I201" t="s">
        <v>222</v>
      </c>
      <c r="J201">
        <v>2</v>
      </c>
      <c r="K201" t="s">
        <v>223</v>
      </c>
      <c r="L201" t="s">
        <v>223</v>
      </c>
      <c r="M201" t="s">
        <v>272</v>
      </c>
      <c r="N201">
        <v>1</v>
      </c>
      <c r="O201">
        <v>19.355008628336901</v>
      </c>
      <c r="P201">
        <v>17542.520886247199</v>
      </c>
    </row>
    <row r="202" spans="1:16">
      <c r="A202" t="s">
        <v>192</v>
      </c>
      <c r="B202" s="2" t="s">
        <v>346</v>
      </c>
      <c r="C202" s="2">
        <v>15</v>
      </c>
      <c r="D202" t="s">
        <v>305</v>
      </c>
      <c r="E202" t="s">
        <v>306</v>
      </c>
      <c r="F202" t="s">
        <v>271</v>
      </c>
      <c r="G202">
        <v>0</v>
      </c>
      <c r="H202">
        <v>2</v>
      </c>
      <c r="I202" t="s">
        <v>222</v>
      </c>
      <c r="J202">
        <v>2</v>
      </c>
      <c r="K202" t="s">
        <v>223</v>
      </c>
      <c r="L202" t="s">
        <v>223</v>
      </c>
      <c r="M202" t="s">
        <v>272</v>
      </c>
      <c r="N202">
        <v>1</v>
      </c>
      <c r="O202">
        <v>19.208194601054799</v>
      </c>
      <c r="P202">
        <v>19417.081693715099</v>
      </c>
    </row>
    <row r="203" spans="1:16">
      <c r="A203" t="s">
        <v>205</v>
      </c>
      <c r="B203" s="2" t="s">
        <v>347</v>
      </c>
      <c r="C203" s="2">
        <v>13</v>
      </c>
      <c r="D203" t="s">
        <v>261</v>
      </c>
      <c r="E203" t="s">
        <v>260</v>
      </c>
      <c r="F203" t="s">
        <v>226</v>
      </c>
      <c r="G203">
        <v>2</v>
      </c>
      <c r="H203">
        <v>6</v>
      </c>
      <c r="I203" t="s">
        <v>227</v>
      </c>
      <c r="J203">
        <v>4</v>
      </c>
      <c r="K203" t="s">
        <v>223</v>
      </c>
      <c r="L203" t="s">
        <v>223</v>
      </c>
      <c r="M203" t="s">
        <v>224</v>
      </c>
      <c r="N203">
        <v>2</v>
      </c>
      <c r="O203">
        <v>27.240996032224601</v>
      </c>
      <c r="P203">
        <v>75.115761230198203</v>
      </c>
    </row>
    <row r="204" spans="1:16">
      <c r="A204" t="s">
        <v>206</v>
      </c>
      <c r="B204" s="2" t="s">
        <v>347</v>
      </c>
      <c r="C204" s="2">
        <v>14</v>
      </c>
      <c r="D204" t="s">
        <v>261</v>
      </c>
      <c r="E204" t="s">
        <v>260</v>
      </c>
      <c r="F204" t="s">
        <v>226</v>
      </c>
      <c r="G204">
        <v>2</v>
      </c>
      <c r="H204">
        <v>6</v>
      </c>
      <c r="I204" t="s">
        <v>227</v>
      </c>
      <c r="J204">
        <v>4</v>
      </c>
      <c r="K204" t="s">
        <v>223</v>
      </c>
      <c r="L204" t="s">
        <v>223</v>
      </c>
      <c r="M204" t="s">
        <v>224</v>
      </c>
      <c r="N204">
        <v>2</v>
      </c>
      <c r="O204">
        <v>26.762895358656401</v>
      </c>
      <c r="P204">
        <v>104.54824921199901</v>
      </c>
    </row>
    <row r="205" spans="1:16">
      <c r="A205" t="s">
        <v>207</v>
      </c>
      <c r="B205" s="2" t="s">
        <v>347</v>
      </c>
      <c r="C205" s="2">
        <v>15</v>
      </c>
      <c r="D205" t="s">
        <v>261</v>
      </c>
      <c r="E205" t="s">
        <v>260</v>
      </c>
      <c r="F205" t="s">
        <v>226</v>
      </c>
      <c r="G205">
        <v>2</v>
      </c>
      <c r="H205">
        <v>6</v>
      </c>
      <c r="I205" t="s">
        <v>227</v>
      </c>
      <c r="J205">
        <v>4</v>
      </c>
      <c r="K205" t="s">
        <v>223</v>
      </c>
      <c r="L205" t="s">
        <v>223</v>
      </c>
      <c r="M205" t="s">
        <v>224</v>
      </c>
      <c r="N205">
        <v>2</v>
      </c>
      <c r="O205">
        <v>27.012413267646799</v>
      </c>
      <c r="P205">
        <v>87.979247413402007</v>
      </c>
    </row>
  </sheetData>
  <sortState xmlns:xlrd2="http://schemas.microsoft.com/office/spreadsheetml/2017/richdata2" ref="A2:P195">
    <sortCondition ref="F2:F195" customList="TS,TL1,TL2,TL3,TL4,I,NS1,NS2,NS3,SH1,SH2,SH3,SH4,SH5,LN1,LN2,LN3,LN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F9A3F-A976-419E-83F3-C6435A488F8A}">
  <dimension ref="A1:P9"/>
  <sheetViews>
    <sheetView workbookViewId="0">
      <selection activeCell="I36" sqref="I36"/>
    </sheetView>
  </sheetViews>
  <sheetFormatPr defaultRowHeight="14.4"/>
  <sheetData>
    <row r="1" spans="1:16">
      <c r="A1" t="s">
        <v>16</v>
      </c>
      <c r="B1" s="2" t="s">
        <v>322</v>
      </c>
      <c r="C1" s="2">
        <v>1</v>
      </c>
      <c r="D1" t="s">
        <v>225</v>
      </c>
      <c r="E1" t="s">
        <v>220</v>
      </c>
      <c r="F1" t="s">
        <v>226</v>
      </c>
      <c r="G1">
        <v>2</v>
      </c>
      <c r="H1">
        <v>6</v>
      </c>
      <c r="I1" t="s">
        <v>227</v>
      </c>
      <c r="J1">
        <v>4</v>
      </c>
      <c r="K1" t="s">
        <v>223</v>
      </c>
      <c r="L1" t="s">
        <v>223</v>
      </c>
      <c r="M1" t="s">
        <v>224</v>
      </c>
      <c r="N1">
        <v>2</v>
      </c>
      <c r="O1">
        <v>26.2230227216446</v>
      </c>
      <c r="P1">
        <v>151.863755245037</v>
      </c>
    </row>
    <row r="2" spans="1:16">
      <c r="A2" t="s">
        <v>17</v>
      </c>
      <c r="B2" s="2" t="s">
        <v>322</v>
      </c>
      <c r="C2" s="2">
        <v>2</v>
      </c>
      <c r="D2" t="s">
        <v>225</v>
      </c>
      <c r="E2" t="s">
        <v>220</v>
      </c>
      <c r="F2" t="s">
        <v>226</v>
      </c>
      <c r="G2">
        <v>2</v>
      </c>
      <c r="H2">
        <v>6</v>
      </c>
      <c r="I2" t="s">
        <v>227</v>
      </c>
      <c r="J2">
        <v>4</v>
      </c>
      <c r="K2" t="s">
        <v>223</v>
      </c>
      <c r="L2" t="s">
        <v>223</v>
      </c>
      <c r="M2" t="s">
        <v>224</v>
      </c>
      <c r="N2">
        <v>2</v>
      </c>
      <c r="O2">
        <v>26.347102950634302</v>
      </c>
      <c r="P2">
        <v>139.37655067384699</v>
      </c>
    </row>
    <row r="3" spans="1:16">
      <c r="A3" t="s">
        <v>18</v>
      </c>
      <c r="B3" s="2" t="s">
        <v>322</v>
      </c>
      <c r="C3" s="2">
        <v>3</v>
      </c>
      <c r="D3" t="s">
        <v>225</v>
      </c>
      <c r="E3" t="s">
        <v>220</v>
      </c>
      <c r="F3" t="s">
        <v>226</v>
      </c>
      <c r="G3">
        <v>2</v>
      </c>
      <c r="H3">
        <v>6</v>
      </c>
      <c r="I3" t="s">
        <v>227</v>
      </c>
      <c r="J3">
        <v>4</v>
      </c>
      <c r="K3" t="s">
        <v>223</v>
      </c>
      <c r="L3" t="s">
        <v>223</v>
      </c>
      <c r="M3" t="s">
        <v>224</v>
      </c>
      <c r="N3">
        <v>2</v>
      </c>
      <c r="O3">
        <v>26.1843791230752</v>
      </c>
      <c r="P3">
        <v>155.976719549969</v>
      </c>
    </row>
    <row r="4" spans="1:16">
      <c r="A4" t="s">
        <v>43</v>
      </c>
      <c r="B4" s="2" t="s">
        <v>336</v>
      </c>
      <c r="C4" s="2">
        <v>4</v>
      </c>
      <c r="D4" t="s">
        <v>261</v>
      </c>
      <c r="E4" t="s">
        <v>260</v>
      </c>
      <c r="F4" t="s">
        <v>226</v>
      </c>
      <c r="G4">
        <v>2</v>
      </c>
      <c r="H4">
        <v>6</v>
      </c>
      <c r="I4" t="s">
        <v>227</v>
      </c>
      <c r="J4">
        <v>4</v>
      </c>
      <c r="K4" t="s">
        <v>223</v>
      </c>
      <c r="L4" t="s">
        <v>223</v>
      </c>
      <c r="M4" t="s">
        <v>224</v>
      </c>
      <c r="N4">
        <v>2</v>
      </c>
      <c r="O4">
        <v>26.7802274424524</v>
      </c>
      <c r="P4">
        <v>103.30265950533401</v>
      </c>
    </row>
    <row r="5" spans="1:16">
      <c r="A5" t="s">
        <v>44</v>
      </c>
      <c r="B5" s="2" t="s">
        <v>336</v>
      </c>
      <c r="C5" s="2">
        <v>5</v>
      </c>
      <c r="D5" t="s">
        <v>261</v>
      </c>
      <c r="E5" t="s">
        <v>260</v>
      </c>
      <c r="F5" t="s">
        <v>226</v>
      </c>
      <c r="G5">
        <v>2</v>
      </c>
      <c r="H5">
        <v>6</v>
      </c>
      <c r="I5" t="s">
        <v>227</v>
      </c>
      <c r="J5">
        <v>4</v>
      </c>
      <c r="K5" t="s">
        <v>223</v>
      </c>
      <c r="L5" t="s">
        <v>223</v>
      </c>
      <c r="M5" t="s">
        <v>224</v>
      </c>
      <c r="N5">
        <v>2</v>
      </c>
      <c r="O5">
        <v>26.529047931392402</v>
      </c>
      <c r="P5">
        <v>122.89863102404701</v>
      </c>
    </row>
    <row r="6" spans="1:16">
      <c r="A6" t="s">
        <v>45</v>
      </c>
      <c r="B6" s="2" t="s">
        <v>336</v>
      </c>
      <c r="C6" s="2">
        <v>6</v>
      </c>
      <c r="D6" t="s">
        <v>261</v>
      </c>
      <c r="E6" t="s">
        <v>260</v>
      </c>
      <c r="F6" t="s">
        <v>226</v>
      </c>
      <c r="G6">
        <v>2</v>
      </c>
      <c r="H6">
        <v>6</v>
      </c>
      <c r="I6" t="s">
        <v>227</v>
      </c>
      <c r="J6">
        <v>4</v>
      </c>
      <c r="K6" t="s">
        <v>223</v>
      </c>
      <c r="L6" t="s">
        <v>223</v>
      </c>
      <c r="M6" t="s">
        <v>224</v>
      </c>
      <c r="N6">
        <v>2</v>
      </c>
      <c r="O6">
        <v>27.065147575906899</v>
      </c>
      <c r="P6">
        <v>84.828697702864801</v>
      </c>
    </row>
    <row r="7" spans="1:16">
      <c r="A7" t="s">
        <v>124</v>
      </c>
      <c r="B7" s="2" t="s">
        <v>342</v>
      </c>
      <c r="C7" s="2">
        <v>1</v>
      </c>
      <c r="D7" t="s">
        <v>251</v>
      </c>
      <c r="E7" t="s">
        <v>250</v>
      </c>
      <c r="F7" t="s">
        <v>226</v>
      </c>
      <c r="G7">
        <v>2</v>
      </c>
      <c r="H7">
        <v>6</v>
      </c>
      <c r="I7" t="s">
        <v>227</v>
      </c>
      <c r="J7">
        <v>4</v>
      </c>
      <c r="K7" t="s">
        <v>223</v>
      </c>
      <c r="L7" t="s">
        <v>223</v>
      </c>
      <c r="M7" t="s">
        <v>224</v>
      </c>
      <c r="N7">
        <v>2</v>
      </c>
      <c r="O7">
        <v>22.656745014704398</v>
      </c>
      <c r="P7">
        <v>1788.53434448902</v>
      </c>
    </row>
    <row r="8" spans="1:16">
      <c r="A8" t="s">
        <v>125</v>
      </c>
      <c r="B8" s="2" t="s">
        <v>342</v>
      </c>
      <c r="C8" s="2">
        <v>2</v>
      </c>
      <c r="D8" t="s">
        <v>251</v>
      </c>
      <c r="E8" t="s">
        <v>250</v>
      </c>
      <c r="F8" t="s">
        <v>226</v>
      </c>
      <c r="G8">
        <v>2</v>
      </c>
      <c r="H8">
        <v>6</v>
      </c>
      <c r="I8" t="s">
        <v>227</v>
      </c>
      <c r="J8">
        <v>4</v>
      </c>
      <c r="K8" t="s">
        <v>223</v>
      </c>
      <c r="L8" t="s">
        <v>223</v>
      </c>
      <c r="M8" t="s">
        <v>224</v>
      </c>
      <c r="N8">
        <v>2</v>
      </c>
      <c r="O8">
        <v>22.669232839176999</v>
      </c>
      <c r="P8">
        <v>1773.1557122091101</v>
      </c>
    </row>
    <row r="9" spans="1:16">
      <c r="A9" t="s">
        <v>126</v>
      </c>
      <c r="B9" s="2" t="s">
        <v>342</v>
      </c>
      <c r="C9" s="2">
        <v>3</v>
      </c>
      <c r="D9" t="s">
        <v>251</v>
      </c>
      <c r="E9" t="s">
        <v>250</v>
      </c>
      <c r="F9" t="s">
        <v>226</v>
      </c>
      <c r="G9">
        <v>2</v>
      </c>
      <c r="H9">
        <v>6</v>
      </c>
      <c r="I9" t="s">
        <v>227</v>
      </c>
      <c r="J9">
        <v>4</v>
      </c>
      <c r="K9" t="s">
        <v>223</v>
      </c>
      <c r="L9" t="s">
        <v>223</v>
      </c>
      <c r="M9" t="s">
        <v>224</v>
      </c>
      <c r="N9">
        <v>2</v>
      </c>
      <c r="O9">
        <v>22.763334744963299</v>
      </c>
      <c r="P9">
        <v>1661.4439689557901</v>
      </c>
    </row>
  </sheetData>
  <sortState xmlns:xlrd2="http://schemas.microsoft.com/office/spreadsheetml/2017/richdata2" ref="A1:P9">
    <sortCondition ref="B1:B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38348-C23F-44CE-9414-6C2A5616F113}">
  <dimension ref="A1:P12"/>
  <sheetViews>
    <sheetView workbookViewId="0">
      <selection sqref="A1:P12"/>
    </sheetView>
  </sheetViews>
  <sheetFormatPr defaultRowHeight="14.4"/>
  <sheetData>
    <row r="1" spans="1:16">
      <c r="A1" t="s">
        <v>160</v>
      </c>
      <c r="B1" s="2" t="s">
        <v>344</v>
      </c>
      <c r="C1" s="2">
        <v>13</v>
      </c>
      <c r="D1" t="s">
        <v>251</v>
      </c>
      <c r="E1" t="s">
        <v>250</v>
      </c>
      <c r="F1" t="s">
        <v>226</v>
      </c>
      <c r="G1">
        <v>2</v>
      </c>
      <c r="H1">
        <v>6</v>
      </c>
      <c r="I1" t="s">
        <v>227</v>
      </c>
      <c r="J1">
        <v>4</v>
      </c>
      <c r="K1" t="s">
        <v>223</v>
      </c>
      <c r="L1" t="s">
        <v>223</v>
      </c>
      <c r="M1" t="s">
        <v>224</v>
      </c>
      <c r="N1">
        <v>2</v>
      </c>
      <c r="O1">
        <v>28.2285378146162</v>
      </c>
      <c r="P1">
        <v>37.944371726793598</v>
      </c>
    </row>
    <row r="2" spans="1:16">
      <c r="A2" t="s">
        <v>161</v>
      </c>
      <c r="B2" s="2" t="s">
        <v>344</v>
      </c>
      <c r="C2" s="2">
        <v>14</v>
      </c>
      <c r="D2" t="s">
        <v>251</v>
      </c>
      <c r="E2" t="s">
        <v>250</v>
      </c>
      <c r="F2" t="s">
        <v>226</v>
      </c>
      <c r="G2">
        <v>2</v>
      </c>
      <c r="H2">
        <v>6</v>
      </c>
      <c r="I2" t="s">
        <v>227</v>
      </c>
      <c r="J2">
        <v>4</v>
      </c>
      <c r="K2" t="s">
        <v>223</v>
      </c>
      <c r="L2" t="s">
        <v>223</v>
      </c>
      <c r="M2" t="s">
        <v>224</v>
      </c>
      <c r="N2">
        <v>2</v>
      </c>
      <c r="O2">
        <v>28.172520624273901</v>
      </c>
      <c r="P2">
        <v>39.443072830289097</v>
      </c>
    </row>
    <row r="3" spans="1:16">
      <c r="A3" t="s">
        <v>162</v>
      </c>
      <c r="B3" s="2" t="s">
        <v>344</v>
      </c>
      <c r="C3" s="2">
        <v>15</v>
      </c>
      <c r="D3" t="s">
        <v>251</v>
      </c>
      <c r="E3" t="s">
        <v>250</v>
      </c>
      <c r="F3" t="s">
        <v>226</v>
      </c>
      <c r="G3">
        <v>2</v>
      </c>
      <c r="H3">
        <v>6</v>
      </c>
      <c r="I3" t="s">
        <v>227</v>
      </c>
      <c r="J3">
        <v>4</v>
      </c>
      <c r="K3" t="s">
        <v>223</v>
      </c>
      <c r="L3" t="s">
        <v>223</v>
      </c>
      <c r="M3" t="s">
        <v>224</v>
      </c>
      <c r="N3">
        <v>2</v>
      </c>
      <c r="O3">
        <v>27.577697436758999</v>
      </c>
      <c r="P3">
        <v>59.512904759613797</v>
      </c>
    </row>
    <row r="4" spans="1:16">
      <c r="A4" t="s">
        <v>175</v>
      </c>
      <c r="B4" s="2" t="s">
        <v>345</v>
      </c>
      <c r="C4" s="2">
        <v>13</v>
      </c>
      <c r="D4" t="s">
        <v>305</v>
      </c>
      <c r="E4" t="s">
        <v>306</v>
      </c>
      <c r="F4" t="s">
        <v>271</v>
      </c>
      <c r="G4">
        <v>0</v>
      </c>
      <c r="H4">
        <v>2</v>
      </c>
      <c r="I4" t="s">
        <v>222</v>
      </c>
      <c r="J4">
        <v>2</v>
      </c>
      <c r="K4" t="s">
        <v>223</v>
      </c>
      <c r="L4" t="s">
        <v>223</v>
      </c>
      <c r="M4" t="s">
        <v>272</v>
      </c>
      <c r="N4">
        <v>1</v>
      </c>
      <c r="O4">
        <v>24.224378444899401</v>
      </c>
      <c r="P4">
        <v>604.91927624351501</v>
      </c>
    </row>
    <row r="5" spans="1:16">
      <c r="A5" t="s">
        <v>176</v>
      </c>
      <c r="B5" s="2" t="s">
        <v>345</v>
      </c>
      <c r="C5" s="2">
        <v>14</v>
      </c>
      <c r="D5" t="s">
        <v>305</v>
      </c>
      <c r="E5" t="s">
        <v>306</v>
      </c>
      <c r="F5" t="s">
        <v>271</v>
      </c>
      <c r="G5">
        <v>0</v>
      </c>
      <c r="H5">
        <v>2</v>
      </c>
      <c r="I5" t="s">
        <v>222</v>
      </c>
      <c r="J5">
        <v>2</v>
      </c>
      <c r="K5" t="s">
        <v>223</v>
      </c>
      <c r="L5" t="s">
        <v>223</v>
      </c>
      <c r="M5" t="s">
        <v>272</v>
      </c>
      <c r="N5">
        <v>1</v>
      </c>
      <c r="O5">
        <v>24.262560317883398</v>
      </c>
      <c r="P5">
        <v>589.15618912913396</v>
      </c>
    </row>
    <row r="6" spans="1:16">
      <c r="A6" t="s">
        <v>177</v>
      </c>
      <c r="B6" s="2" t="s">
        <v>345</v>
      </c>
      <c r="C6" s="2">
        <v>15</v>
      </c>
      <c r="D6" t="s">
        <v>305</v>
      </c>
      <c r="E6" t="s">
        <v>306</v>
      </c>
      <c r="F6" t="s">
        <v>271</v>
      </c>
      <c r="G6">
        <v>0</v>
      </c>
      <c r="H6">
        <v>2</v>
      </c>
      <c r="I6" t="s">
        <v>222</v>
      </c>
      <c r="J6">
        <v>2</v>
      </c>
      <c r="K6" t="s">
        <v>223</v>
      </c>
      <c r="L6" t="s">
        <v>223</v>
      </c>
      <c r="M6" t="s">
        <v>272</v>
      </c>
      <c r="N6">
        <v>1</v>
      </c>
      <c r="O6">
        <v>24.158739235176501</v>
      </c>
      <c r="P6">
        <v>633.00994657746503</v>
      </c>
    </row>
    <row r="7" spans="1:16">
      <c r="A7" t="s">
        <v>190</v>
      </c>
      <c r="B7" s="2" t="s">
        <v>346</v>
      </c>
      <c r="C7" s="2">
        <v>13</v>
      </c>
      <c r="D7" t="s">
        <v>305</v>
      </c>
      <c r="E7" t="s">
        <v>306</v>
      </c>
      <c r="F7" t="s">
        <v>271</v>
      </c>
      <c r="G7">
        <v>0</v>
      </c>
      <c r="H7">
        <v>2</v>
      </c>
      <c r="I7" t="s">
        <v>222</v>
      </c>
      <c r="J7">
        <v>2</v>
      </c>
      <c r="K7" t="s">
        <v>223</v>
      </c>
      <c r="L7" t="s">
        <v>223</v>
      </c>
      <c r="M7" t="s">
        <v>272</v>
      </c>
      <c r="N7">
        <v>1</v>
      </c>
      <c r="O7">
        <v>19.1824207280808</v>
      </c>
      <c r="P7">
        <v>19766.259924129099</v>
      </c>
    </row>
    <row r="8" spans="1:16">
      <c r="A8" t="s">
        <v>191</v>
      </c>
      <c r="B8" s="2" t="s">
        <v>346</v>
      </c>
      <c r="C8" s="2">
        <v>14</v>
      </c>
      <c r="D8" t="s">
        <v>305</v>
      </c>
      <c r="E8" t="s">
        <v>306</v>
      </c>
      <c r="F8" t="s">
        <v>271</v>
      </c>
      <c r="G8">
        <v>0</v>
      </c>
      <c r="H8">
        <v>2</v>
      </c>
      <c r="I8" t="s">
        <v>222</v>
      </c>
      <c r="J8">
        <v>2</v>
      </c>
      <c r="K8" t="s">
        <v>223</v>
      </c>
      <c r="L8" t="s">
        <v>223</v>
      </c>
      <c r="M8" t="s">
        <v>272</v>
      </c>
      <c r="N8">
        <v>1</v>
      </c>
      <c r="O8">
        <v>19.355008628336901</v>
      </c>
      <c r="P8">
        <v>17542.520886247199</v>
      </c>
    </row>
    <row r="9" spans="1:16">
      <c r="A9" t="s">
        <v>192</v>
      </c>
      <c r="B9" s="2" t="s">
        <v>346</v>
      </c>
      <c r="C9" s="2">
        <v>15</v>
      </c>
      <c r="D9" t="s">
        <v>305</v>
      </c>
      <c r="E9" t="s">
        <v>306</v>
      </c>
      <c r="F9" t="s">
        <v>271</v>
      </c>
      <c r="G9">
        <v>0</v>
      </c>
      <c r="H9">
        <v>2</v>
      </c>
      <c r="I9" t="s">
        <v>222</v>
      </c>
      <c r="J9">
        <v>2</v>
      </c>
      <c r="K9" t="s">
        <v>223</v>
      </c>
      <c r="L9" t="s">
        <v>223</v>
      </c>
      <c r="M9" t="s">
        <v>272</v>
      </c>
      <c r="N9">
        <v>1</v>
      </c>
      <c r="O9">
        <v>19.208194601054799</v>
      </c>
      <c r="P9">
        <v>19417.081693715099</v>
      </c>
    </row>
    <row r="10" spans="1:16">
      <c r="A10" t="s">
        <v>205</v>
      </c>
      <c r="B10" s="2" t="s">
        <v>347</v>
      </c>
      <c r="C10" s="2">
        <v>13</v>
      </c>
      <c r="D10" t="s">
        <v>261</v>
      </c>
      <c r="E10" t="s">
        <v>260</v>
      </c>
      <c r="F10" t="s">
        <v>226</v>
      </c>
      <c r="G10">
        <v>2</v>
      </c>
      <c r="H10">
        <v>6</v>
      </c>
      <c r="I10" t="s">
        <v>227</v>
      </c>
      <c r="J10">
        <v>4</v>
      </c>
      <c r="K10" t="s">
        <v>223</v>
      </c>
      <c r="L10" t="s">
        <v>223</v>
      </c>
      <c r="M10" t="s">
        <v>224</v>
      </c>
      <c r="N10">
        <v>2</v>
      </c>
      <c r="O10">
        <v>27.240996032224601</v>
      </c>
      <c r="P10">
        <v>75.115761230198203</v>
      </c>
    </row>
    <row r="11" spans="1:16">
      <c r="A11" t="s">
        <v>206</v>
      </c>
      <c r="B11" s="2" t="s">
        <v>347</v>
      </c>
      <c r="C11" s="2">
        <v>14</v>
      </c>
      <c r="D11" t="s">
        <v>261</v>
      </c>
      <c r="E11" t="s">
        <v>260</v>
      </c>
      <c r="F11" t="s">
        <v>226</v>
      </c>
      <c r="G11">
        <v>2</v>
      </c>
      <c r="H11">
        <v>6</v>
      </c>
      <c r="I11" t="s">
        <v>227</v>
      </c>
      <c r="J11">
        <v>4</v>
      </c>
      <c r="K11" t="s">
        <v>223</v>
      </c>
      <c r="L11" t="s">
        <v>223</v>
      </c>
      <c r="M11" t="s">
        <v>224</v>
      </c>
      <c r="N11">
        <v>2</v>
      </c>
      <c r="O11">
        <v>26.762895358656401</v>
      </c>
      <c r="P11">
        <v>104.54824921199901</v>
      </c>
    </row>
    <row r="12" spans="1:16">
      <c r="A12" t="s">
        <v>207</v>
      </c>
      <c r="B12" s="2" t="s">
        <v>347</v>
      </c>
      <c r="C12" s="2">
        <v>15</v>
      </c>
      <c r="D12" t="s">
        <v>261</v>
      </c>
      <c r="E12" t="s">
        <v>260</v>
      </c>
      <c r="F12" t="s">
        <v>226</v>
      </c>
      <c r="G12">
        <v>2</v>
      </c>
      <c r="H12">
        <v>6</v>
      </c>
      <c r="I12" t="s">
        <v>227</v>
      </c>
      <c r="J12">
        <v>4</v>
      </c>
      <c r="K12" t="s">
        <v>223</v>
      </c>
      <c r="L12" t="s">
        <v>223</v>
      </c>
      <c r="M12" t="s">
        <v>224</v>
      </c>
      <c r="N12">
        <v>2</v>
      </c>
      <c r="O12">
        <v>27.012413267646799</v>
      </c>
      <c r="P12">
        <v>87.979247413402007</v>
      </c>
    </row>
  </sheetData>
  <sortState xmlns:xlrd2="http://schemas.microsoft.com/office/spreadsheetml/2017/richdata2" ref="A1:P12">
    <sortCondition ref="B1:B1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14240-949E-438F-AD0E-FADF94D586BC}">
  <dimension ref="A1:N63"/>
  <sheetViews>
    <sheetView zoomScale="55" zoomScaleNormal="55" workbookViewId="0">
      <selection activeCell="L46" sqref="L46"/>
    </sheetView>
  </sheetViews>
  <sheetFormatPr defaultRowHeight="14.4"/>
  <cols>
    <col min="1" max="1" width="20" bestFit="1" customWidth="1"/>
    <col min="2" max="2" width="12.33203125" bestFit="1" customWidth="1"/>
    <col min="11" max="11" width="12.33203125" bestFit="1" customWidth="1"/>
  </cols>
  <sheetData>
    <row r="1" spans="1:14">
      <c r="A1" t="s">
        <v>208</v>
      </c>
      <c r="B1" t="s">
        <v>209</v>
      </c>
      <c r="C1" t="s">
        <v>210</v>
      </c>
      <c r="D1" t="s">
        <v>211</v>
      </c>
      <c r="E1" t="s">
        <v>212</v>
      </c>
      <c r="F1" t="s">
        <v>213</v>
      </c>
      <c r="G1" t="s">
        <v>214</v>
      </c>
      <c r="H1" t="s">
        <v>215</v>
      </c>
      <c r="I1" t="s">
        <v>216</v>
      </c>
      <c r="J1" t="s">
        <v>217</v>
      </c>
      <c r="K1" t="s">
        <v>218</v>
      </c>
      <c r="L1" t="s">
        <v>352</v>
      </c>
      <c r="M1" t="s">
        <v>353</v>
      </c>
      <c r="N1" t="s">
        <v>354</v>
      </c>
    </row>
    <row r="2" spans="1:14">
      <c r="A2" t="s">
        <v>219</v>
      </c>
      <c r="B2" t="s">
        <v>220</v>
      </c>
      <c r="C2" t="s">
        <v>221</v>
      </c>
      <c r="D2">
        <v>0</v>
      </c>
      <c r="E2">
        <v>2</v>
      </c>
      <c r="F2" t="s">
        <v>222</v>
      </c>
      <c r="G2">
        <v>2</v>
      </c>
      <c r="H2" t="s">
        <v>223</v>
      </c>
      <c r="I2" t="s">
        <v>223</v>
      </c>
      <c r="J2" t="s">
        <v>224</v>
      </c>
      <c r="K2">
        <v>1</v>
      </c>
      <c r="L2">
        <v>48848.833960000004</v>
      </c>
      <c r="M2">
        <v>5115.5585090000004</v>
      </c>
      <c r="N2">
        <v>4.5449444999999998E-2</v>
      </c>
    </row>
    <row r="3" spans="1:14">
      <c r="A3" t="s">
        <v>225</v>
      </c>
      <c r="B3" t="s">
        <v>220</v>
      </c>
      <c r="C3" t="s">
        <v>226</v>
      </c>
      <c r="D3">
        <v>2</v>
      </c>
      <c r="E3">
        <v>6</v>
      </c>
      <c r="F3" s="3">
        <v>45694</v>
      </c>
      <c r="G3">
        <v>4</v>
      </c>
      <c r="H3" t="s">
        <v>223</v>
      </c>
      <c r="I3" t="s">
        <v>223</v>
      </c>
      <c r="J3" t="s">
        <v>224</v>
      </c>
      <c r="K3">
        <v>2</v>
      </c>
      <c r="L3">
        <v>205.71983169999999</v>
      </c>
      <c r="M3">
        <v>11.93004953</v>
      </c>
      <c r="N3">
        <v>2.5168412000000001E-2</v>
      </c>
    </row>
    <row r="4" spans="1:14">
      <c r="A4" t="s">
        <v>231</v>
      </c>
      <c r="B4" t="s">
        <v>220</v>
      </c>
      <c r="C4" t="s">
        <v>232</v>
      </c>
      <c r="D4">
        <v>10</v>
      </c>
      <c r="E4">
        <v>14</v>
      </c>
      <c r="F4" s="3">
        <v>45944</v>
      </c>
      <c r="G4">
        <v>4</v>
      </c>
      <c r="H4" t="s">
        <v>223</v>
      </c>
      <c r="I4" t="s">
        <v>223</v>
      </c>
      <c r="J4" t="s">
        <v>224</v>
      </c>
      <c r="K4">
        <v>4</v>
      </c>
      <c r="L4">
        <v>18530.090469999999</v>
      </c>
      <c r="M4">
        <v>10477.61535</v>
      </c>
      <c r="N4">
        <v>0.24540004700000001</v>
      </c>
    </row>
    <row r="5" spans="1:14">
      <c r="A5" t="s">
        <v>234</v>
      </c>
      <c r="B5" t="s">
        <v>220</v>
      </c>
      <c r="C5" t="s">
        <v>235</v>
      </c>
      <c r="D5">
        <v>14</v>
      </c>
      <c r="E5">
        <v>18</v>
      </c>
      <c r="F5" t="s">
        <v>236</v>
      </c>
      <c r="G5">
        <v>4</v>
      </c>
      <c r="H5" t="s">
        <v>223</v>
      </c>
      <c r="I5" t="s">
        <v>223</v>
      </c>
      <c r="J5" t="s">
        <v>224</v>
      </c>
      <c r="K5">
        <v>5</v>
      </c>
      <c r="L5">
        <v>85149.776020000005</v>
      </c>
      <c r="M5">
        <v>4718.8442130000003</v>
      </c>
      <c r="N5">
        <v>2.4051482999999999E-2</v>
      </c>
    </row>
    <row r="6" spans="1:14">
      <c r="A6" t="s">
        <v>237</v>
      </c>
      <c r="B6" t="s">
        <v>220</v>
      </c>
      <c r="C6" t="s">
        <v>238</v>
      </c>
      <c r="D6">
        <v>18</v>
      </c>
      <c r="E6">
        <v>21</v>
      </c>
      <c r="F6" t="s">
        <v>239</v>
      </c>
      <c r="G6">
        <v>3</v>
      </c>
      <c r="H6" t="s">
        <v>223</v>
      </c>
      <c r="I6" t="s">
        <v>223</v>
      </c>
      <c r="J6" t="s">
        <v>224</v>
      </c>
      <c r="K6">
        <v>6</v>
      </c>
      <c r="L6">
        <v>30593.812000000002</v>
      </c>
      <c r="M6">
        <v>1493.9208799999999</v>
      </c>
      <c r="N6">
        <v>2.1192575000000002E-2</v>
      </c>
    </row>
    <row r="7" spans="1:14">
      <c r="A7" t="s">
        <v>240</v>
      </c>
      <c r="B7" t="s">
        <v>220</v>
      </c>
      <c r="C7" t="s">
        <v>241</v>
      </c>
      <c r="D7">
        <v>21</v>
      </c>
      <c r="E7">
        <v>23</v>
      </c>
      <c r="F7" t="s">
        <v>242</v>
      </c>
      <c r="G7">
        <v>2</v>
      </c>
      <c r="H7" t="s">
        <v>223</v>
      </c>
      <c r="I7" t="s">
        <v>223</v>
      </c>
      <c r="J7" t="s">
        <v>224</v>
      </c>
      <c r="K7">
        <v>7</v>
      </c>
      <c r="L7">
        <v>75057.251640000002</v>
      </c>
      <c r="M7">
        <v>3318.0096520000002</v>
      </c>
      <c r="N7">
        <v>1.9185569999999999E-2</v>
      </c>
    </row>
    <row r="8" spans="1:14">
      <c r="A8" t="s">
        <v>243</v>
      </c>
      <c r="B8" t="s">
        <v>220</v>
      </c>
      <c r="C8" t="s">
        <v>244</v>
      </c>
      <c r="D8">
        <v>23</v>
      </c>
      <c r="E8">
        <v>25</v>
      </c>
      <c r="F8" t="s">
        <v>245</v>
      </c>
      <c r="G8">
        <v>2</v>
      </c>
      <c r="H8" t="s">
        <v>223</v>
      </c>
      <c r="I8" t="s">
        <v>223</v>
      </c>
      <c r="J8" t="s">
        <v>224</v>
      </c>
      <c r="K8">
        <v>8</v>
      </c>
      <c r="L8">
        <v>394997.42499999999</v>
      </c>
      <c r="M8">
        <v>117135.761</v>
      </c>
      <c r="N8">
        <v>0.12870190300000001</v>
      </c>
    </row>
    <row r="9" spans="1:14">
      <c r="A9" t="s">
        <v>246</v>
      </c>
      <c r="B9" t="s">
        <v>220</v>
      </c>
      <c r="C9" t="s">
        <v>247</v>
      </c>
      <c r="D9">
        <v>25</v>
      </c>
      <c r="E9">
        <v>27</v>
      </c>
      <c r="F9" t="s">
        <v>248</v>
      </c>
      <c r="G9">
        <v>2</v>
      </c>
      <c r="H9" t="s">
        <v>223</v>
      </c>
      <c r="I9" t="s">
        <v>223</v>
      </c>
      <c r="J9" t="s">
        <v>224</v>
      </c>
      <c r="K9">
        <v>9</v>
      </c>
      <c r="L9">
        <v>146396.5998</v>
      </c>
      <c r="M9">
        <v>7475.6297329999998</v>
      </c>
      <c r="N9">
        <v>2.2161876E-2</v>
      </c>
    </row>
    <row r="10" spans="1:14">
      <c r="A10" t="s">
        <v>249</v>
      </c>
      <c r="B10" t="s">
        <v>250</v>
      </c>
      <c r="C10" t="s">
        <v>221</v>
      </c>
      <c r="D10">
        <v>0</v>
      </c>
      <c r="E10">
        <v>2</v>
      </c>
      <c r="F10" t="s">
        <v>222</v>
      </c>
      <c r="G10">
        <v>2</v>
      </c>
      <c r="H10" t="s">
        <v>223</v>
      </c>
      <c r="I10" t="s">
        <v>223</v>
      </c>
      <c r="J10" t="s">
        <v>224</v>
      </c>
      <c r="K10">
        <v>1</v>
      </c>
      <c r="L10">
        <v>54283.825100000002</v>
      </c>
      <c r="M10">
        <v>9551.6721730000008</v>
      </c>
      <c r="N10">
        <v>7.6365763000000003E-2</v>
      </c>
    </row>
    <row r="11" spans="1:14">
      <c r="A11" t="s">
        <v>251</v>
      </c>
      <c r="B11" t="s">
        <v>250</v>
      </c>
      <c r="C11" t="s">
        <v>226</v>
      </c>
      <c r="D11">
        <v>2</v>
      </c>
      <c r="E11">
        <v>6</v>
      </c>
      <c r="F11" s="3">
        <v>45694</v>
      </c>
      <c r="G11">
        <v>4</v>
      </c>
      <c r="H11" t="s">
        <v>223</v>
      </c>
      <c r="I11" t="s">
        <v>223</v>
      </c>
      <c r="J11" t="s">
        <v>224</v>
      </c>
      <c r="K11">
        <v>2</v>
      </c>
      <c r="L11">
        <v>2402.6416519999998</v>
      </c>
      <c r="M11">
        <v>95.721975630000003</v>
      </c>
      <c r="N11">
        <v>1.7290692E-2</v>
      </c>
    </row>
    <row r="12" spans="1:14">
      <c r="A12" t="s">
        <v>252</v>
      </c>
      <c r="B12" t="s">
        <v>250</v>
      </c>
      <c r="C12" t="s">
        <v>229</v>
      </c>
      <c r="D12">
        <v>6</v>
      </c>
      <c r="E12">
        <v>10</v>
      </c>
      <c r="F12" s="3">
        <v>45818</v>
      </c>
      <c r="G12">
        <v>4</v>
      </c>
      <c r="H12" t="s">
        <v>223</v>
      </c>
      <c r="I12" t="s">
        <v>223</v>
      </c>
      <c r="J12" t="s">
        <v>224</v>
      </c>
      <c r="K12">
        <v>3</v>
      </c>
      <c r="L12">
        <v>548.25188890000004</v>
      </c>
      <c r="M12">
        <v>84.623476240000002</v>
      </c>
      <c r="N12">
        <v>6.6988531000000004E-2</v>
      </c>
    </row>
    <row r="13" spans="1:14">
      <c r="A13" t="s">
        <v>253</v>
      </c>
      <c r="B13" t="s">
        <v>250</v>
      </c>
      <c r="C13" t="s">
        <v>232</v>
      </c>
      <c r="D13">
        <v>10</v>
      </c>
      <c r="E13">
        <v>14</v>
      </c>
      <c r="F13" s="3">
        <v>45944</v>
      </c>
      <c r="G13">
        <v>4</v>
      </c>
      <c r="H13" t="s">
        <v>223</v>
      </c>
      <c r="I13" t="s">
        <v>223</v>
      </c>
      <c r="J13" t="s">
        <v>224</v>
      </c>
      <c r="K13">
        <v>4</v>
      </c>
      <c r="L13">
        <v>59433.966030000003</v>
      </c>
      <c r="M13">
        <v>14219.9629</v>
      </c>
      <c r="N13">
        <v>0.103837322</v>
      </c>
    </row>
    <row r="14" spans="1:14">
      <c r="A14" t="s">
        <v>254</v>
      </c>
      <c r="B14" t="s">
        <v>250</v>
      </c>
      <c r="C14" t="s">
        <v>235</v>
      </c>
      <c r="D14">
        <v>14</v>
      </c>
      <c r="E14">
        <v>18</v>
      </c>
      <c r="F14" t="s">
        <v>236</v>
      </c>
      <c r="G14">
        <v>4</v>
      </c>
      <c r="H14" t="s">
        <v>223</v>
      </c>
      <c r="I14" t="s">
        <v>223</v>
      </c>
      <c r="J14" t="s">
        <v>224</v>
      </c>
      <c r="K14">
        <v>5</v>
      </c>
      <c r="L14">
        <v>64852.069259999997</v>
      </c>
      <c r="M14">
        <v>3268.5180070000001</v>
      </c>
      <c r="N14">
        <v>2.1873423999999999E-2</v>
      </c>
    </row>
    <row r="15" spans="1:14">
      <c r="A15" t="s">
        <v>255</v>
      </c>
      <c r="B15" t="s">
        <v>250</v>
      </c>
      <c r="C15" t="s">
        <v>238</v>
      </c>
      <c r="D15">
        <v>18</v>
      </c>
      <c r="E15">
        <v>21</v>
      </c>
      <c r="F15" t="s">
        <v>239</v>
      </c>
      <c r="G15">
        <v>3</v>
      </c>
      <c r="H15" t="s">
        <v>223</v>
      </c>
      <c r="I15" t="s">
        <v>223</v>
      </c>
      <c r="J15" t="s">
        <v>224</v>
      </c>
      <c r="K15">
        <v>6</v>
      </c>
      <c r="L15">
        <v>83623.739509999999</v>
      </c>
      <c r="M15">
        <v>2677.611492</v>
      </c>
      <c r="N15">
        <v>1.3896573000000001E-2</v>
      </c>
    </row>
    <row r="16" spans="1:14">
      <c r="A16" t="s">
        <v>256</v>
      </c>
      <c r="B16" t="s">
        <v>250</v>
      </c>
      <c r="C16" t="s">
        <v>241</v>
      </c>
      <c r="D16">
        <v>21</v>
      </c>
      <c r="E16">
        <v>23</v>
      </c>
      <c r="F16" t="s">
        <v>242</v>
      </c>
      <c r="G16">
        <v>2</v>
      </c>
      <c r="H16" t="s">
        <v>223</v>
      </c>
      <c r="I16" t="s">
        <v>223</v>
      </c>
      <c r="J16" t="s">
        <v>224</v>
      </c>
      <c r="K16">
        <v>7</v>
      </c>
      <c r="L16">
        <v>82490.933499999999</v>
      </c>
      <c r="M16">
        <v>2410.9988549999998</v>
      </c>
      <c r="N16">
        <v>1.2684709000000001E-2</v>
      </c>
    </row>
    <row r="17" spans="1:14">
      <c r="A17" t="s">
        <v>257</v>
      </c>
      <c r="B17" t="s">
        <v>250</v>
      </c>
      <c r="C17" t="s">
        <v>244</v>
      </c>
      <c r="D17">
        <v>23</v>
      </c>
      <c r="E17">
        <v>25</v>
      </c>
      <c r="F17" t="s">
        <v>245</v>
      </c>
      <c r="G17">
        <v>2</v>
      </c>
      <c r="H17" t="s">
        <v>223</v>
      </c>
      <c r="I17" t="s">
        <v>223</v>
      </c>
      <c r="J17" t="s">
        <v>224</v>
      </c>
      <c r="K17">
        <v>8</v>
      </c>
      <c r="L17">
        <v>170123.07769999999</v>
      </c>
      <c r="M17">
        <v>16449.318579999999</v>
      </c>
      <c r="N17">
        <v>4.1963762000000002E-2</v>
      </c>
    </row>
    <row r="18" spans="1:14">
      <c r="A18" t="s">
        <v>258</v>
      </c>
      <c r="B18" t="s">
        <v>250</v>
      </c>
      <c r="C18" t="s">
        <v>247</v>
      </c>
      <c r="D18">
        <v>25</v>
      </c>
      <c r="E18">
        <v>27</v>
      </c>
      <c r="F18" t="s">
        <v>248</v>
      </c>
      <c r="G18">
        <v>2</v>
      </c>
      <c r="H18" t="s">
        <v>223</v>
      </c>
      <c r="I18" t="s">
        <v>223</v>
      </c>
      <c r="J18" t="s">
        <v>224</v>
      </c>
      <c r="K18">
        <v>9</v>
      </c>
      <c r="L18">
        <v>133318.73610000001</v>
      </c>
      <c r="M18">
        <v>12004.394</v>
      </c>
      <c r="N18">
        <v>3.9078581000000001E-2</v>
      </c>
    </row>
    <row r="19" spans="1:14">
      <c r="A19" t="s">
        <v>259</v>
      </c>
      <c r="B19" t="s">
        <v>260</v>
      </c>
      <c r="C19" t="s">
        <v>221</v>
      </c>
      <c r="D19">
        <v>0</v>
      </c>
      <c r="E19">
        <v>2</v>
      </c>
      <c r="F19" t="s">
        <v>222</v>
      </c>
      <c r="G19">
        <v>2</v>
      </c>
      <c r="H19" t="s">
        <v>223</v>
      </c>
      <c r="I19" t="s">
        <v>223</v>
      </c>
      <c r="J19" t="s">
        <v>224</v>
      </c>
      <c r="K19">
        <v>1</v>
      </c>
      <c r="L19">
        <v>18036.386869999998</v>
      </c>
      <c r="M19">
        <v>929.62896030000002</v>
      </c>
      <c r="N19">
        <v>2.2369167999999998E-2</v>
      </c>
    </row>
    <row r="20" spans="1:14">
      <c r="A20" t="s">
        <v>261</v>
      </c>
      <c r="B20" t="s">
        <v>260</v>
      </c>
      <c r="C20" t="s">
        <v>226</v>
      </c>
      <c r="D20">
        <v>2</v>
      </c>
      <c r="E20">
        <v>6</v>
      </c>
      <c r="F20" s="3">
        <v>45694</v>
      </c>
      <c r="G20">
        <v>4</v>
      </c>
      <c r="H20" t="s">
        <v>223</v>
      </c>
      <c r="I20" t="s">
        <v>223</v>
      </c>
      <c r="J20" t="s">
        <v>224</v>
      </c>
      <c r="K20">
        <v>2</v>
      </c>
      <c r="L20">
        <v>103.67666269999999</v>
      </c>
      <c r="M20">
        <v>19.03772214</v>
      </c>
      <c r="N20">
        <v>7.9693647000000006E-2</v>
      </c>
    </row>
    <row r="21" spans="1:14">
      <c r="A21" t="s">
        <v>263</v>
      </c>
      <c r="B21" t="s">
        <v>260</v>
      </c>
      <c r="C21" t="s">
        <v>232</v>
      </c>
      <c r="D21">
        <v>10</v>
      </c>
      <c r="E21">
        <v>14</v>
      </c>
      <c r="F21" s="3">
        <v>45944</v>
      </c>
      <c r="G21">
        <v>4</v>
      </c>
      <c r="H21" t="s">
        <v>223</v>
      </c>
      <c r="I21" t="s">
        <v>223</v>
      </c>
      <c r="J21" t="s">
        <v>224</v>
      </c>
      <c r="K21">
        <v>4</v>
      </c>
      <c r="L21">
        <v>82749.133400000006</v>
      </c>
      <c r="M21">
        <v>5407.9020300000002</v>
      </c>
      <c r="N21">
        <v>2.8363190999999999E-2</v>
      </c>
    </row>
    <row r="22" spans="1:14">
      <c r="A22" t="s">
        <v>264</v>
      </c>
      <c r="B22" t="s">
        <v>260</v>
      </c>
      <c r="C22" t="s">
        <v>235</v>
      </c>
      <c r="D22">
        <v>14</v>
      </c>
      <c r="E22">
        <v>18</v>
      </c>
      <c r="F22" t="s">
        <v>236</v>
      </c>
      <c r="G22">
        <v>4</v>
      </c>
      <c r="H22" t="s">
        <v>223</v>
      </c>
      <c r="I22" t="s">
        <v>223</v>
      </c>
      <c r="J22" t="s">
        <v>224</v>
      </c>
      <c r="K22">
        <v>5</v>
      </c>
      <c r="L22">
        <v>77854.632020000005</v>
      </c>
      <c r="M22">
        <v>11056.70824</v>
      </c>
      <c r="N22">
        <v>6.1635528000000002E-2</v>
      </c>
    </row>
    <row r="23" spans="1:14">
      <c r="A23" t="s">
        <v>265</v>
      </c>
      <c r="B23" t="s">
        <v>260</v>
      </c>
      <c r="C23" t="s">
        <v>238</v>
      </c>
      <c r="D23">
        <v>18</v>
      </c>
      <c r="E23">
        <v>21</v>
      </c>
      <c r="F23" t="s">
        <v>239</v>
      </c>
      <c r="G23">
        <v>3</v>
      </c>
      <c r="H23" t="s">
        <v>223</v>
      </c>
      <c r="I23" t="s">
        <v>223</v>
      </c>
      <c r="J23" t="s">
        <v>224</v>
      </c>
      <c r="K23">
        <v>6</v>
      </c>
      <c r="L23">
        <v>92651.564939999997</v>
      </c>
      <c r="M23">
        <v>5668.0326269999996</v>
      </c>
      <c r="N23">
        <v>2.6550292999999999E-2</v>
      </c>
    </row>
    <row r="24" spans="1:14">
      <c r="A24" t="s">
        <v>266</v>
      </c>
      <c r="B24" t="s">
        <v>260</v>
      </c>
      <c r="C24" t="s">
        <v>241</v>
      </c>
      <c r="D24">
        <v>21</v>
      </c>
      <c r="E24">
        <v>23</v>
      </c>
      <c r="F24" t="s">
        <v>242</v>
      </c>
      <c r="G24">
        <v>2</v>
      </c>
      <c r="H24" t="s">
        <v>223</v>
      </c>
      <c r="I24" t="s">
        <v>223</v>
      </c>
      <c r="J24" t="s">
        <v>224</v>
      </c>
      <c r="K24">
        <v>7</v>
      </c>
      <c r="L24">
        <v>82650.825519999999</v>
      </c>
      <c r="M24">
        <v>3192.9921690000001</v>
      </c>
      <c r="N24">
        <v>1.6766422E-2</v>
      </c>
    </row>
    <row r="25" spans="1:14">
      <c r="A25" t="s">
        <v>267</v>
      </c>
      <c r="B25" t="s">
        <v>260</v>
      </c>
      <c r="C25" t="s">
        <v>244</v>
      </c>
      <c r="D25">
        <v>23</v>
      </c>
      <c r="E25">
        <v>25</v>
      </c>
      <c r="F25" t="s">
        <v>245</v>
      </c>
      <c r="G25">
        <v>2</v>
      </c>
      <c r="H25" t="s">
        <v>223</v>
      </c>
      <c r="I25" t="s">
        <v>223</v>
      </c>
      <c r="J25" t="s">
        <v>224</v>
      </c>
      <c r="K25">
        <v>8</v>
      </c>
      <c r="L25">
        <v>116298.2634</v>
      </c>
      <c r="M25">
        <v>5073.2602619999998</v>
      </c>
      <c r="N25">
        <v>1.8932312E-2</v>
      </c>
    </row>
    <row r="26" spans="1:14">
      <c r="A26" t="s">
        <v>268</v>
      </c>
      <c r="B26" t="s">
        <v>260</v>
      </c>
      <c r="C26" t="s">
        <v>247</v>
      </c>
      <c r="D26">
        <v>25</v>
      </c>
      <c r="E26">
        <v>27</v>
      </c>
      <c r="F26" t="s">
        <v>248</v>
      </c>
      <c r="G26">
        <v>2</v>
      </c>
      <c r="H26" t="s">
        <v>223</v>
      </c>
      <c r="I26" t="s">
        <v>223</v>
      </c>
      <c r="J26" t="s">
        <v>224</v>
      </c>
      <c r="K26">
        <v>9</v>
      </c>
      <c r="L26">
        <v>140538.98860000001</v>
      </c>
      <c r="M26">
        <v>2910.182624</v>
      </c>
      <c r="N26">
        <v>8.9869670000000002E-3</v>
      </c>
    </row>
    <row r="27" spans="1:14">
      <c r="A27" t="s">
        <v>269</v>
      </c>
      <c r="B27" t="s">
        <v>270</v>
      </c>
      <c r="C27" t="s">
        <v>271</v>
      </c>
      <c r="D27">
        <v>0</v>
      </c>
      <c r="E27">
        <v>2</v>
      </c>
      <c r="F27" t="s">
        <v>222</v>
      </c>
      <c r="G27">
        <v>2</v>
      </c>
      <c r="H27" t="s">
        <v>223</v>
      </c>
      <c r="I27" t="s">
        <v>223</v>
      </c>
      <c r="J27" t="s">
        <v>272</v>
      </c>
      <c r="K27">
        <v>1</v>
      </c>
      <c r="L27">
        <v>316.2768524</v>
      </c>
      <c r="M27">
        <v>74.997229329999996</v>
      </c>
      <c r="N27">
        <v>0.10291236099999999</v>
      </c>
    </row>
    <row r="28" spans="1:14">
      <c r="A28" t="s">
        <v>273</v>
      </c>
      <c r="B28" t="s">
        <v>270</v>
      </c>
      <c r="C28" t="s">
        <v>274</v>
      </c>
      <c r="D28">
        <v>2</v>
      </c>
      <c r="E28">
        <v>4</v>
      </c>
      <c r="F28" s="3">
        <v>45692</v>
      </c>
      <c r="G28">
        <v>2</v>
      </c>
      <c r="H28" t="s">
        <v>223</v>
      </c>
      <c r="I28" t="s">
        <v>223</v>
      </c>
      <c r="J28" t="s">
        <v>272</v>
      </c>
      <c r="K28">
        <v>2</v>
      </c>
      <c r="L28">
        <v>19757.187880000001</v>
      </c>
      <c r="M28">
        <v>1717.66689</v>
      </c>
      <c r="N28">
        <v>3.7731453999999998E-2</v>
      </c>
    </row>
    <row r="29" spans="1:14">
      <c r="A29" t="s">
        <v>276</v>
      </c>
      <c r="B29" t="s">
        <v>270</v>
      </c>
      <c r="C29" t="s">
        <v>277</v>
      </c>
      <c r="D29">
        <v>4</v>
      </c>
      <c r="E29">
        <v>6</v>
      </c>
      <c r="F29" s="3">
        <v>45753</v>
      </c>
      <c r="G29">
        <v>2</v>
      </c>
      <c r="H29" t="s">
        <v>223</v>
      </c>
      <c r="I29" t="s">
        <v>223</v>
      </c>
      <c r="J29" t="s">
        <v>272</v>
      </c>
      <c r="K29">
        <v>3</v>
      </c>
      <c r="L29">
        <v>53960.640229999997</v>
      </c>
      <c r="M29">
        <v>1968.2769510000001</v>
      </c>
      <c r="N29">
        <v>1.5830653E-2</v>
      </c>
    </row>
    <row r="30" spans="1:14">
      <c r="A30" t="s">
        <v>279</v>
      </c>
      <c r="B30" t="s">
        <v>270</v>
      </c>
      <c r="C30" t="s">
        <v>280</v>
      </c>
      <c r="D30">
        <v>6</v>
      </c>
      <c r="E30">
        <v>8</v>
      </c>
      <c r="F30" s="3">
        <v>45816</v>
      </c>
      <c r="G30">
        <v>2</v>
      </c>
      <c r="H30" t="s">
        <v>223</v>
      </c>
      <c r="I30" t="s">
        <v>223</v>
      </c>
      <c r="J30" t="s">
        <v>272</v>
      </c>
      <c r="K30">
        <v>4</v>
      </c>
      <c r="L30">
        <v>66868.382289999994</v>
      </c>
      <c r="M30">
        <v>6512.7113799999997</v>
      </c>
      <c r="N30">
        <v>4.2269854000000003E-2</v>
      </c>
    </row>
    <row r="31" spans="1:14">
      <c r="A31" t="s">
        <v>282</v>
      </c>
      <c r="B31" t="s">
        <v>270</v>
      </c>
      <c r="C31" t="s">
        <v>283</v>
      </c>
      <c r="D31">
        <v>8</v>
      </c>
      <c r="E31">
        <v>10</v>
      </c>
      <c r="F31" s="3">
        <v>45879</v>
      </c>
      <c r="G31">
        <v>2</v>
      </c>
      <c r="H31" t="s">
        <v>223</v>
      </c>
      <c r="I31" t="s">
        <v>223</v>
      </c>
      <c r="J31" t="s">
        <v>272</v>
      </c>
      <c r="K31">
        <v>5</v>
      </c>
      <c r="L31">
        <v>42949.897900000004</v>
      </c>
      <c r="M31">
        <v>2330.7327030000001</v>
      </c>
      <c r="N31">
        <v>2.3551580999999999E-2</v>
      </c>
    </row>
    <row r="32" spans="1:14">
      <c r="A32" t="s">
        <v>285</v>
      </c>
      <c r="B32" t="s">
        <v>270</v>
      </c>
      <c r="C32" t="s">
        <v>286</v>
      </c>
      <c r="D32">
        <v>10</v>
      </c>
      <c r="E32">
        <v>14</v>
      </c>
      <c r="F32" s="3">
        <v>45944</v>
      </c>
      <c r="G32">
        <v>4</v>
      </c>
      <c r="H32" t="s">
        <v>223</v>
      </c>
      <c r="I32" t="s">
        <v>223</v>
      </c>
      <c r="J32" t="s">
        <v>272</v>
      </c>
      <c r="K32">
        <v>6</v>
      </c>
      <c r="L32">
        <v>63819.437030000001</v>
      </c>
      <c r="M32">
        <v>4067.206623</v>
      </c>
      <c r="N32">
        <v>2.7658779000000001E-2</v>
      </c>
    </row>
    <row r="33" spans="1:14">
      <c r="A33" t="s">
        <v>287</v>
      </c>
      <c r="B33" t="s">
        <v>270</v>
      </c>
      <c r="C33" t="s">
        <v>288</v>
      </c>
      <c r="D33">
        <v>14</v>
      </c>
      <c r="E33">
        <v>18</v>
      </c>
      <c r="F33" t="s">
        <v>236</v>
      </c>
      <c r="G33">
        <v>4</v>
      </c>
      <c r="H33" t="s">
        <v>223</v>
      </c>
      <c r="I33" t="s">
        <v>223</v>
      </c>
      <c r="J33" t="s">
        <v>272</v>
      </c>
      <c r="K33">
        <v>7</v>
      </c>
      <c r="L33">
        <v>42342.494639999997</v>
      </c>
      <c r="M33">
        <v>2937.2262900000001</v>
      </c>
      <c r="N33">
        <v>3.0105836E-2</v>
      </c>
    </row>
    <row r="34" spans="1:14">
      <c r="A34" t="s">
        <v>289</v>
      </c>
      <c r="B34" t="s">
        <v>270</v>
      </c>
      <c r="C34" t="s">
        <v>290</v>
      </c>
      <c r="D34">
        <v>18</v>
      </c>
      <c r="E34">
        <v>22</v>
      </c>
      <c r="F34" t="s">
        <v>291</v>
      </c>
      <c r="G34">
        <v>4</v>
      </c>
      <c r="H34" t="s">
        <v>223</v>
      </c>
      <c r="I34" t="s">
        <v>223</v>
      </c>
      <c r="J34" t="s">
        <v>272</v>
      </c>
      <c r="K34">
        <v>8</v>
      </c>
      <c r="L34">
        <v>118119.95480000001</v>
      </c>
      <c r="M34">
        <v>18940.058430000001</v>
      </c>
      <c r="N34">
        <v>6.9590150000000003E-2</v>
      </c>
    </row>
    <row r="35" spans="1:14">
      <c r="A35" t="s">
        <v>292</v>
      </c>
      <c r="B35" t="s">
        <v>270</v>
      </c>
      <c r="C35" t="s">
        <v>293</v>
      </c>
      <c r="D35">
        <v>22</v>
      </c>
      <c r="E35">
        <v>26</v>
      </c>
      <c r="F35" t="s">
        <v>294</v>
      </c>
      <c r="G35">
        <v>4</v>
      </c>
      <c r="H35" t="s">
        <v>223</v>
      </c>
      <c r="I35" t="s">
        <v>223</v>
      </c>
      <c r="J35" t="s">
        <v>272</v>
      </c>
      <c r="K35">
        <v>9</v>
      </c>
      <c r="L35">
        <v>54156.366410000002</v>
      </c>
      <c r="M35">
        <v>2791.095022</v>
      </c>
      <c r="N35">
        <v>2.2367365E-2</v>
      </c>
    </row>
    <row r="36" spans="1:14">
      <c r="A36" t="s">
        <v>295</v>
      </c>
      <c r="B36" t="s">
        <v>296</v>
      </c>
      <c r="C36" t="s">
        <v>271</v>
      </c>
      <c r="D36">
        <v>0</v>
      </c>
      <c r="E36">
        <v>2</v>
      </c>
      <c r="F36" t="s">
        <v>222</v>
      </c>
      <c r="G36">
        <v>2</v>
      </c>
      <c r="H36" t="s">
        <v>223</v>
      </c>
      <c r="I36" t="s">
        <v>223</v>
      </c>
      <c r="J36" t="s">
        <v>272</v>
      </c>
      <c r="K36">
        <v>1</v>
      </c>
      <c r="L36">
        <v>250.24295359999999</v>
      </c>
      <c r="M36">
        <v>20.02119583</v>
      </c>
      <c r="N36">
        <v>3.4723051999999997E-2</v>
      </c>
    </row>
    <row r="37" spans="1:14">
      <c r="A37" t="s">
        <v>297</v>
      </c>
      <c r="B37" t="s">
        <v>296</v>
      </c>
      <c r="C37" t="s">
        <v>274</v>
      </c>
      <c r="D37">
        <v>2</v>
      </c>
      <c r="E37">
        <v>4</v>
      </c>
      <c r="F37" s="3">
        <v>45692</v>
      </c>
      <c r="G37">
        <v>2</v>
      </c>
      <c r="H37" t="s">
        <v>223</v>
      </c>
      <c r="I37" t="s">
        <v>223</v>
      </c>
      <c r="J37" t="s">
        <v>272</v>
      </c>
      <c r="K37">
        <v>2</v>
      </c>
      <c r="L37">
        <v>36047.881939999999</v>
      </c>
      <c r="M37">
        <v>2235.9619349999998</v>
      </c>
      <c r="N37">
        <v>2.6919958000000001E-2</v>
      </c>
    </row>
    <row r="38" spans="1:14">
      <c r="A38" t="s">
        <v>298</v>
      </c>
      <c r="B38" t="s">
        <v>296</v>
      </c>
      <c r="C38" t="s">
        <v>277</v>
      </c>
      <c r="D38">
        <v>4</v>
      </c>
      <c r="E38">
        <v>6</v>
      </c>
      <c r="F38" s="3">
        <v>45753</v>
      </c>
      <c r="G38">
        <v>2</v>
      </c>
      <c r="H38" t="s">
        <v>223</v>
      </c>
      <c r="I38" t="s">
        <v>223</v>
      </c>
      <c r="J38" t="s">
        <v>272</v>
      </c>
      <c r="K38">
        <v>3</v>
      </c>
      <c r="L38">
        <v>56847.980810000001</v>
      </c>
      <c r="M38">
        <v>1940.7494240000001</v>
      </c>
      <c r="N38">
        <v>1.481645E-2</v>
      </c>
    </row>
    <row r="39" spans="1:14">
      <c r="A39" t="s">
        <v>299</v>
      </c>
      <c r="B39" t="s">
        <v>296</v>
      </c>
      <c r="C39" t="s">
        <v>280</v>
      </c>
      <c r="D39">
        <v>6</v>
      </c>
      <c r="E39">
        <v>8</v>
      </c>
      <c r="F39" s="3">
        <v>45816</v>
      </c>
      <c r="G39">
        <v>2</v>
      </c>
      <c r="H39" t="s">
        <v>223</v>
      </c>
      <c r="I39" t="s">
        <v>223</v>
      </c>
      <c r="J39" t="s">
        <v>272</v>
      </c>
      <c r="K39">
        <v>4</v>
      </c>
      <c r="L39">
        <v>50953.944560000004</v>
      </c>
      <c r="M39">
        <v>5440.3670240000001</v>
      </c>
      <c r="N39">
        <v>4.6338301999999998E-2</v>
      </c>
    </row>
    <row r="40" spans="1:14">
      <c r="A40" t="s">
        <v>300</v>
      </c>
      <c r="B40" t="s">
        <v>296</v>
      </c>
      <c r="C40" t="s">
        <v>283</v>
      </c>
      <c r="D40">
        <v>8</v>
      </c>
      <c r="E40">
        <v>10</v>
      </c>
      <c r="F40" s="3">
        <v>45879</v>
      </c>
      <c r="G40">
        <v>2</v>
      </c>
      <c r="H40" t="s">
        <v>223</v>
      </c>
      <c r="I40" t="s">
        <v>223</v>
      </c>
      <c r="J40" t="s">
        <v>272</v>
      </c>
      <c r="K40">
        <v>5</v>
      </c>
      <c r="L40">
        <v>51591.870510000001</v>
      </c>
      <c r="M40">
        <v>835.48243090000005</v>
      </c>
      <c r="N40">
        <v>7.0282269999999997E-3</v>
      </c>
    </row>
    <row r="41" spans="1:14">
      <c r="A41" t="s">
        <v>301</v>
      </c>
      <c r="B41" t="s">
        <v>296</v>
      </c>
      <c r="C41" t="s">
        <v>286</v>
      </c>
      <c r="D41">
        <v>10</v>
      </c>
      <c r="E41">
        <v>14</v>
      </c>
      <c r="F41" s="3">
        <v>45944</v>
      </c>
      <c r="G41">
        <v>4</v>
      </c>
      <c r="H41" t="s">
        <v>223</v>
      </c>
      <c r="I41" t="s">
        <v>223</v>
      </c>
      <c r="J41" t="s">
        <v>272</v>
      </c>
      <c r="K41">
        <v>6</v>
      </c>
      <c r="L41">
        <v>87034.710059999998</v>
      </c>
      <c r="M41">
        <v>12195.025089999999</v>
      </c>
      <c r="N41">
        <v>6.0810691E-2</v>
      </c>
    </row>
    <row r="42" spans="1:14">
      <c r="A42" t="s">
        <v>302</v>
      </c>
      <c r="B42" t="s">
        <v>296</v>
      </c>
      <c r="C42" t="s">
        <v>288</v>
      </c>
      <c r="D42">
        <v>14</v>
      </c>
      <c r="E42">
        <v>18</v>
      </c>
      <c r="F42" t="s">
        <v>236</v>
      </c>
      <c r="G42">
        <v>4</v>
      </c>
      <c r="H42" t="s">
        <v>223</v>
      </c>
      <c r="I42" t="s">
        <v>223</v>
      </c>
      <c r="J42" t="s">
        <v>272</v>
      </c>
      <c r="K42">
        <v>7</v>
      </c>
      <c r="L42">
        <v>179643.1697</v>
      </c>
      <c r="M42">
        <v>16999.447990000001</v>
      </c>
      <c r="N42">
        <v>4.1068973000000002E-2</v>
      </c>
    </row>
    <row r="43" spans="1:14">
      <c r="A43" t="s">
        <v>303</v>
      </c>
      <c r="B43" t="s">
        <v>296</v>
      </c>
      <c r="C43" t="s">
        <v>290</v>
      </c>
      <c r="D43">
        <v>18</v>
      </c>
      <c r="E43">
        <v>22</v>
      </c>
      <c r="F43" t="s">
        <v>291</v>
      </c>
      <c r="G43">
        <v>4</v>
      </c>
      <c r="H43" t="s">
        <v>223</v>
      </c>
      <c r="I43" t="s">
        <v>223</v>
      </c>
      <c r="J43" t="s">
        <v>272</v>
      </c>
      <c r="K43">
        <v>8</v>
      </c>
      <c r="L43">
        <v>136713.6637</v>
      </c>
      <c r="M43">
        <v>11105.364820000001</v>
      </c>
      <c r="N43">
        <v>3.5254182000000002E-2</v>
      </c>
    </row>
    <row r="44" spans="1:14">
      <c r="A44" t="s">
        <v>304</v>
      </c>
      <c r="B44" t="s">
        <v>296</v>
      </c>
      <c r="C44" t="s">
        <v>293</v>
      </c>
      <c r="D44">
        <v>22</v>
      </c>
      <c r="E44">
        <v>26</v>
      </c>
      <c r="F44" t="s">
        <v>294</v>
      </c>
      <c r="G44">
        <v>4</v>
      </c>
      <c r="H44" t="s">
        <v>223</v>
      </c>
      <c r="I44" t="s">
        <v>223</v>
      </c>
      <c r="J44" t="s">
        <v>272</v>
      </c>
      <c r="K44">
        <v>9</v>
      </c>
      <c r="L44">
        <v>83129.554229999994</v>
      </c>
      <c r="M44">
        <v>987.87506740000003</v>
      </c>
      <c r="N44">
        <v>5.157465E-3</v>
      </c>
    </row>
    <row r="45" spans="1:14">
      <c r="A45" t="s">
        <v>356</v>
      </c>
      <c r="B45" t="s">
        <v>306</v>
      </c>
      <c r="C45" t="s">
        <v>271</v>
      </c>
      <c r="D45">
        <v>0</v>
      </c>
      <c r="E45">
        <v>2</v>
      </c>
      <c r="F45" t="s">
        <v>222</v>
      </c>
      <c r="G45">
        <v>2</v>
      </c>
      <c r="H45" t="s">
        <v>223</v>
      </c>
      <c r="I45" t="s">
        <v>223</v>
      </c>
      <c r="J45" t="s">
        <v>272</v>
      </c>
      <c r="K45">
        <v>1</v>
      </c>
      <c r="L45">
        <v>609.02846999999997</v>
      </c>
      <c r="M45">
        <v>22.21378</v>
      </c>
      <c r="N45">
        <v>1.5829770999999999E-2</v>
      </c>
    </row>
    <row r="46" spans="1:14">
      <c r="A46" t="s">
        <v>357</v>
      </c>
      <c r="B46" t="s">
        <v>306</v>
      </c>
      <c r="C46" t="s">
        <v>271</v>
      </c>
      <c r="D46">
        <v>0</v>
      </c>
      <c r="E46">
        <v>2</v>
      </c>
      <c r="F46" t="s">
        <v>222</v>
      </c>
      <c r="G46">
        <v>2</v>
      </c>
      <c r="H46" t="s">
        <v>223</v>
      </c>
      <c r="I46" t="s">
        <v>223</v>
      </c>
      <c r="J46" t="s">
        <v>272</v>
      </c>
      <c r="K46">
        <v>1</v>
      </c>
      <c r="L46">
        <v>1374.4815619999999</v>
      </c>
      <c r="M46">
        <v>24.904544520000002</v>
      </c>
      <c r="N46">
        <v>7.8637450000000001E-3</v>
      </c>
    </row>
    <row r="47" spans="1:14">
      <c r="A47" t="s">
        <v>307</v>
      </c>
      <c r="B47" t="s">
        <v>306</v>
      </c>
      <c r="C47" t="s">
        <v>274</v>
      </c>
      <c r="D47">
        <v>2</v>
      </c>
      <c r="E47">
        <v>4</v>
      </c>
      <c r="F47" s="3">
        <v>45692</v>
      </c>
      <c r="G47">
        <v>2</v>
      </c>
      <c r="H47" t="s">
        <v>223</v>
      </c>
      <c r="I47" t="s">
        <v>223</v>
      </c>
      <c r="J47" t="s">
        <v>272</v>
      </c>
      <c r="K47">
        <v>2</v>
      </c>
      <c r="L47">
        <v>32513.121920000001</v>
      </c>
      <c r="M47">
        <v>3121.5043430000001</v>
      </c>
      <c r="N47">
        <v>4.1667266000000001E-2</v>
      </c>
    </row>
    <row r="48" spans="1:14">
      <c r="A48" t="s">
        <v>308</v>
      </c>
      <c r="B48" t="s">
        <v>306</v>
      </c>
      <c r="C48" t="s">
        <v>277</v>
      </c>
      <c r="D48">
        <v>4</v>
      </c>
      <c r="E48">
        <v>6</v>
      </c>
      <c r="F48" s="3">
        <v>45753</v>
      </c>
      <c r="G48">
        <v>2</v>
      </c>
      <c r="H48" t="s">
        <v>223</v>
      </c>
      <c r="I48" t="s">
        <v>223</v>
      </c>
      <c r="J48" t="s">
        <v>272</v>
      </c>
      <c r="K48">
        <v>3</v>
      </c>
      <c r="L48">
        <v>37322.219899999996</v>
      </c>
      <c r="M48">
        <v>1490.5930040000001</v>
      </c>
      <c r="N48">
        <v>1.7333303000000001E-2</v>
      </c>
    </row>
    <row r="49" spans="1:14">
      <c r="A49" t="s">
        <v>309</v>
      </c>
      <c r="B49" t="s">
        <v>306</v>
      </c>
      <c r="C49" t="s">
        <v>280</v>
      </c>
      <c r="D49">
        <v>6</v>
      </c>
      <c r="E49">
        <v>8</v>
      </c>
      <c r="F49" s="3">
        <v>45816</v>
      </c>
      <c r="G49">
        <v>2</v>
      </c>
      <c r="H49" t="s">
        <v>223</v>
      </c>
      <c r="I49" t="s">
        <v>223</v>
      </c>
      <c r="J49" t="s">
        <v>272</v>
      </c>
      <c r="K49">
        <v>4</v>
      </c>
      <c r="L49">
        <v>41428.339549999997</v>
      </c>
      <c r="M49">
        <v>2004.4000100000001</v>
      </c>
      <c r="N49">
        <v>2.0997935999999998E-2</v>
      </c>
    </row>
    <row r="50" spans="1:14">
      <c r="A50" t="s">
        <v>310</v>
      </c>
      <c r="B50" t="s">
        <v>306</v>
      </c>
      <c r="C50" t="s">
        <v>283</v>
      </c>
      <c r="D50">
        <v>8</v>
      </c>
      <c r="E50">
        <v>10</v>
      </c>
      <c r="F50" s="3">
        <v>45879</v>
      </c>
      <c r="G50">
        <v>2</v>
      </c>
      <c r="H50" t="s">
        <v>223</v>
      </c>
      <c r="I50" t="s">
        <v>223</v>
      </c>
      <c r="J50" t="s">
        <v>272</v>
      </c>
      <c r="K50">
        <v>5</v>
      </c>
      <c r="L50">
        <v>53261.441809999997</v>
      </c>
      <c r="M50">
        <v>3261.7337010000001</v>
      </c>
      <c r="N50">
        <v>2.6578184000000001E-2</v>
      </c>
    </row>
    <row r="51" spans="1:14">
      <c r="A51" t="s">
        <v>311</v>
      </c>
      <c r="B51" t="s">
        <v>306</v>
      </c>
      <c r="C51" t="s">
        <v>286</v>
      </c>
      <c r="D51">
        <v>10</v>
      </c>
      <c r="E51">
        <v>14</v>
      </c>
      <c r="F51" s="3">
        <v>45944</v>
      </c>
      <c r="G51">
        <v>4</v>
      </c>
      <c r="H51" t="s">
        <v>223</v>
      </c>
      <c r="I51" t="s">
        <v>223</v>
      </c>
      <c r="J51" t="s">
        <v>272</v>
      </c>
      <c r="K51">
        <v>6</v>
      </c>
      <c r="L51">
        <v>42465.363870000001</v>
      </c>
      <c r="M51">
        <v>1097.648089</v>
      </c>
      <c r="N51">
        <v>1.1218066E-2</v>
      </c>
    </row>
    <row r="52" spans="1:14">
      <c r="A52" t="s">
        <v>312</v>
      </c>
      <c r="B52" t="s">
        <v>306</v>
      </c>
      <c r="C52" t="s">
        <v>288</v>
      </c>
      <c r="D52">
        <v>14</v>
      </c>
      <c r="E52">
        <v>18</v>
      </c>
      <c r="F52" t="s">
        <v>236</v>
      </c>
      <c r="G52">
        <v>4</v>
      </c>
      <c r="H52" t="s">
        <v>223</v>
      </c>
      <c r="I52" t="s">
        <v>223</v>
      </c>
      <c r="J52" t="s">
        <v>272</v>
      </c>
      <c r="K52">
        <v>7</v>
      </c>
      <c r="L52">
        <v>43226.539989999997</v>
      </c>
      <c r="M52">
        <v>1138.7749100000001</v>
      </c>
      <c r="N52">
        <v>1.1433446E-2</v>
      </c>
    </row>
    <row r="53" spans="1:14">
      <c r="A53" t="s">
        <v>313</v>
      </c>
      <c r="B53" t="s">
        <v>306</v>
      </c>
      <c r="C53" t="s">
        <v>290</v>
      </c>
      <c r="D53">
        <v>18</v>
      </c>
      <c r="E53">
        <v>22</v>
      </c>
      <c r="F53" t="s">
        <v>291</v>
      </c>
      <c r="G53">
        <v>4</v>
      </c>
      <c r="H53" t="s">
        <v>223</v>
      </c>
      <c r="I53" t="s">
        <v>223</v>
      </c>
      <c r="J53" t="s">
        <v>272</v>
      </c>
      <c r="K53">
        <v>8</v>
      </c>
      <c r="L53">
        <v>36303.895060000003</v>
      </c>
      <c r="M53">
        <v>266.8751029</v>
      </c>
      <c r="N53">
        <v>3.1903959999999999E-3</v>
      </c>
    </row>
    <row r="54" spans="1:14">
      <c r="A54" t="s">
        <v>314</v>
      </c>
      <c r="B54" t="s">
        <v>306</v>
      </c>
      <c r="C54" t="s">
        <v>293</v>
      </c>
      <c r="D54">
        <v>22</v>
      </c>
      <c r="E54">
        <v>26</v>
      </c>
      <c r="F54" t="s">
        <v>294</v>
      </c>
      <c r="G54">
        <v>4</v>
      </c>
      <c r="H54" t="s">
        <v>223</v>
      </c>
      <c r="I54" t="s">
        <v>223</v>
      </c>
      <c r="J54" t="s">
        <v>272</v>
      </c>
      <c r="K54">
        <v>9</v>
      </c>
      <c r="L54">
        <v>41856.882720000001</v>
      </c>
      <c r="M54">
        <v>2700.7244150000001</v>
      </c>
      <c r="N54">
        <v>2.8002907E-2</v>
      </c>
    </row>
    <row r="55" spans="1:14">
      <c r="A55" t="s">
        <v>355</v>
      </c>
      <c r="B55" t="s">
        <v>350</v>
      </c>
      <c r="C55" t="s">
        <v>350</v>
      </c>
      <c r="D55" t="s">
        <v>350</v>
      </c>
      <c r="E55" t="s">
        <v>350</v>
      </c>
      <c r="F55" t="s">
        <v>350</v>
      </c>
      <c r="G55" t="s">
        <v>350</v>
      </c>
      <c r="H55" t="s">
        <v>350</v>
      </c>
      <c r="I55" t="s">
        <v>350</v>
      </c>
      <c r="J55" t="s">
        <v>350</v>
      </c>
      <c r="K55" t="s">
        <v>350</v>
      </c>
      <c r="L55">
        <v>0</v>
      </c>
      <c r="M55">
        <v>0</v>
      </c>
      <c r="N55">
        <v>0</v>
      </c>
    </row>
    <row r="56" spans="1:14">
      <c r="A56" t="s">
        <v>327</v>
      </c>
      <c r="B56" t="s">
        <v>328</v>
      </c>
      <c r="C56" t="s">
        <v>317</v>
      </c>
      <c r="D56">
        <v>0</v>
      </c>
      <c r="E56">
        <v>10</v>
      </c>
      <c r="F56" t="s">
        <v>236</v>
      </c>
      <c r="G56">
        <v>10</v>
      </c>
      <c r="H56" t="s">
        <v>319</v>
      </c>
      <c r="I56" t="s">
        <v>329</v>
      </c>
      <c r="J56" t="s">
        <v>272</v>
      </c>
      <c r="K56">
        <v>1</v>
      </c>
      <c r="L56">
        <v>256809.24179999999</v>
      </c>
      <c r="M56">
        <v>19760.11736</v>
      </c>
      <c r="N56">
        <v>3.3394012000000001E-2</v>
      </c>
    </row>
    <row r="57" spans="1:14">
      <c r="A57" t="s">
        <v>330</v>
      </c>
      <c r="B57" t="s">
        <v>328</v>
      </c>
      <c r="C57" t="s">
        <v>322</v>
      </c>
      <c r="D57">
        <v>10</v>
      </c>
      <c r="E57">
        <v>20</v>
      </c>
      <c r="F57" s="3">
        <v>45944</v>
      </c>
      <c r="G57">
        <v>10</v>
      </c>
      <c r="H57" t="s">
        <v>319</v>
      </c>
      <c r="I57" t="s">
        <v>329</v>
      </c>
      <c r="J57" t="s">
        <v>272</v>
      </c>
      <c r="K57">
        <v>2</v>
      </c>
      <c r="L57">
        <v>444903.9118</v>
      </c>
      <c r="M57">
        <v>33750.541380000002</v>
      </c>
      <c r="N57">
        <v>3.2923367000000002E-2</v>
      </c>
    </row>
    <row r="58" spans="1:14">
      <c r="A58" t="s">
        <v>331</v>
      </c>
      <c r="B58" t="s">
        <v>332</v>
      </c>
      <c r="C58" t="s">
        <v>317</v>
      </c>
      <c r="D58">
        <v>0</v>
      </c>
      <c r="E58">
        <v>10</v>
      </c>
      <c r="F58" t="s">
        <v>294</v>
      </c>
      <c r="G58">
        <v>10</v>
      </c>
      <c r="H58" t="s">
        <v>319</v>
      </c>
      <c r="I58" t="s">
        <v>329</v>
      </c>
      <c r="J58" t="s">
        <v>272</v>
      </c>
      <c r="K58">
        <v>1</v>
      </c>
      <c r="L58">
        <v>307908.40049999999</v>
      </c>
      <c r="M58">
        <v>23671.763289999999</v>
      </c>
      <c r="N58">
        <v>3.3365589000000001E-2</v>
      </c>
    </row>
    <row r="59" spans="1:14">
      <c r="A59" t="s">
        <v>333</v>
      </c>
      <c r="B59" t="s">
        <v>332</v>
      </c>
      <c r="C59" t="s">
        <v>322</v>
      </c>
      <c r="D59">
        <v>10</v>
      </c>
      <c r="E59">
        <v>20</v>
      </c>
      <c r="F59" t="s">
        <v>291</v>
      </c>
      <c r="G59">
        <v>10</v>
      </c>
      <c r="H59" t="s">
        <v>319</v>
      </c>
      <c r="I59" t="s">
        <v>329</v>
      </c>
      <c r="J59" t="s">
        <v>272</v>
      </c>
      <c r="K59">
        <v>2</v>
      </c>
      <c r="L59">
        <v>821229.37179999996</v>
      </c>
      <c r="M59">
        <v>27262.366590000001</v>
      </c>
      <c r="N59">
        <v>1.4407506E-2</v>
      </c>
    </row>
    <row r="60" spans="1:14">
      <c r="A60" t="s">
        <v>315</v>
      </c>
      <c r="B60" t="s">
        <v>316</v>
      </c>
      <c r="C60" t="s">
        <v>317</v>
      </c>
      <c r="D60">
        <v>0</v>
      </c>
      <c r="E60">
        <v>10</v>
      </c>
      <c r="F60" t="s">
        <v>318</v>
      </c>
      <c r="G60">
        <v>10</v>
      </c>
      <c r="H60" t="s">
        <v>319</v>
      </c>
      <c r="I60" t="s">
        <v>320</v>
      </c>
      <c r="J60" t="s">
        <v>224</v>
      </c>
      <c r="K60">
        <v>1</v>
      </c>
      <c r="L60">
        <v>34732.155070000001</v>
      </c>
      <c r="M60">
        <v>6980.008452</v>
      </c>
      <c r="N60">
        <v>8.7219570999999996E-2</v>
      </c>
    </row>
    <row r="61" spans="1:14">
      <c r="A61" t="s">
        <v>321</v>
      </c>
      <c r="B61" t="s">
        <v>316</v>
      </c>
      <c r="C61" t="s">
        <v>322</v>
      </c>
      <c r="D61">
        <v>10</v>
      </c>
      <c r="E61">
        <v>20</v>
      </c>
      <c r="F61" s="3">
        <v>45950</v>
      </c>
      <c r="G61">
        <v>10</v>
      </c>
      <c r="H61" t="s">
        <v>319</v>
      </c>
      <c r="I61" t="s">
        <v>320</v>
      </c>
      <c r="J61" t="s">
        <v>224</v>
      </c>
      <c r="K61">
        <v>2</v>
      </c>
      <c r="L61">
        <v>26533.494129999999</v>
      </c>
      <c r="M61">
        <v>1729.6726610000001</v>
      </c>
      <c r="N61">
        <v>2.8291711000000001E-2</v>
      </c>
    </row>
    <row r="62" spans="1:14">
      <c r="A62" t="s">
        <v>324</v>
      </c>
      <c r="B62" t="s">
        <v>325</v>
      </c>
      <c r="C62" t="s">
        <v>317</v>
      </c>
      <c r="D62">
        <v>0</v>
      </c>
      <c r="E62">
        <v>10</v>
      </c>
      <c r="F62" t="s">
        <v>318</v>
      </c>
      <c r="G62">
        <v>10</v>
      </c>
      <c r="H62" t="s">
        <v>319</v>
      </c>
      <c r="I62" t="s">
        <v>320</v>
      </c>
      <c r="J62" t="s">
        <v>224</v>
      </c>
      <c r="K62">
        <v>1</v>
      </c>
      <c r="L62">
        <v>55783.57821</v>
      </c>
      <c r="M62">
        <v>5290.2579070000002</v>
      </c>
      <c r="N62">
        <v>4.1158563000000002E-2</v>
      </c>
    </row>
    <row r="63" spans="1:14">
      <c r="A63" t="s">
        <v>326</v>
      </c>
      <c r="B63" t="s">
        <v>325</v>
      </c>
      <c r="C63" t="s">
        <v>322</v>
      </c>
      <c r="D63">
        <v>10</v>
      </c>
      <c r="E63">
        <v>20</v>
      </c>
      <c r="F63" s="3">
        <v>45950</v>
      </c>
      <c r="G63">
        <v>10</v>
      </c>
      <c r="H63" t="s">
        <v>319</v>
      </c>
      <c r="I63" t="s">
        <v>320</v>
      </c>
      <c r="J63" t="s">
        <v>224</v>
      </c>
      <c r="K63">
        <v>2</v>
      </c>
      <c r="L63">
        <v>43198.584900000002</v>
      </c>
      <c r="M63">
        <v>5682.2474620000003</v>
      </c>
      <c r="N63">
        <v>5.7087411999999997E-2</v>
      </c>
    </row>
  </sheetData>
  <sortState xmlns:xlrd2="http://schemas.microsoft.com/office/spreadsheetml/2017/richdata2" ref="A2:N64">
    <sortCondition ref="B2:B64" customList="QLDc1,QLDc2,QLDc3,QLNc1,QLNc2,QLNc3,WFL,WKL"/>
    <sortCondition ref="C2:C64" customList="TS,TL1,TL2,TL3,TL4,I,NS1,NS2,NS3,SH1,SH2,SH3,SH4,SH5,LN1,LN2,LN3,LN4,T,B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CE1DB-9E1F-478B-89A5-041FE9643AD3}">
  <dimension ref="A1:AF66"/>
  <sheetViews>
    <sheetView topLeftCell="A10" zoomScale="70" zoomScaleNormal="70" workbookViewId="0">
      <selection activeCell="O5" sqref="O5"/>
    </sheetView>
  </sheetViews>
  <sheetFormatPr defaultRowHeight="14.4"/>
  <cols>
    <col min="1" max="1" width="13" bestFit="1" customWidth="1"/>
    <col min="4" max="4" width="15.6640625" customWidth="1"/>
    <col min="5" max="5" width="15.109375" customWidth="1"/>
    <col min="8" max="8" width="14" bestFit="1" customWidth="1"/>
    <col min="9" max="9" width="13.109375" customWidth="1"/>
    <col min="15" max="15" width="19.77734375" bestFit="1" customWidth="1"/>
    <col min="16" max="16" width="17.33203125" bestFit="1" customWidth="1"/>
    <col min="19" max="19" width="11.33203125" bestFit="1" customWidth="1"/>
  </cols>
  <sheetData>
    <row r="1" spans="1:32">
      <c r="A1" t="s">
        <v>208</v>
      </c>
      <c r="B1" t="s">
        <v>209</v>
      </c>
      <c r="C1" t="s">
        <v>210</v>
      </c>
      <c r="D1" t="s">
        <v>211</v>
      </c>
      <c r="E1" t="s">
        <v>212</v>
      </c>
      <c r="F1" t="s">
        <v>213</v>
      </c>
      <c r="G1" t="s">
        <v>214</v>
      </c>
      <c r="H1" t="s">
        <v>215</v>
      </c>
      <c r="I1" t="s">
        <v>216</v>
      </c>
      <c r="J1" t="s">
        <v>217</v>
      </c>
      <c r="K1" t="s">
        <v>218</v>
      </c>
      <c r="L1" t="s">
        <v>352</v>
      </c>
      <c r="M1" t="s">
        <v>353</v>
      </c>
      <c r="N1" t="s">
        <v>358</v>
      </c>
      <c r="O1" t="s">
        <v>359</v>
      </c>
      <c r="P1" t="s">
        <v>360</v>
      </c>
      <c r="S1" t="s">
        <v>208</v>
      </c>
      <c r="T1" t="s">
        <v>360</v>
      </c>
      <c r="W1" t="s">
        <v>209</v>
      </c>
      <c r="X1" t="s">
        <v>210</v>
      </c>
      <c r="Y1" t="s">
        <v>211</v>
      </c>
      <c r="Z1" t="s">
        <v>212</v>
      </c>
      <c r="AA1" t="s">
        <v>213</v>
      </c>
      <c r="AB1" t="s">
        <v>214</v>
      </c>
      <c r="AC1" t="s">
        <v>215</v>
      </c>
      <c r="AD1" t="s">
        <v>216</v>
      </c>
      <c r="AE1" t="s">
        <v>217</v>
      </c>
      <c r="AF1" t="s">
        <v>218</v>
      </c>
    </row>
    <row r="2" spans="1:32">
      <c r="A2" t="s">
        <v>219</v>
      </c>
      <c r="B2" t="s">
        <v>220</v>
      </c>
      <c r="C2" t="s">
        <v>221</v>
      </c>
      <c r="D2">
        <v>0</v>
      </c>
      <c r="E2">
        <v>2</v>
      </c>
      <c r="F2" t="s">
        <v>222</v>
      </c>
      <c r="G2">
        <v>2</v>
      </c>
      <c r="H2" t="s">
        <v>223</v>
      </c>
      <c r="I2" t="s">
        <v>223</v>
      </c>
      <c r="J2" t="s">
        <v>224</v>
      </c>
      <c r="K2">
        <v>1</v>
      </c>
      <c r="L2">
        <v>48848.833958000003</v>
      </c>
      <c r="M2">
        <v>5115.5585086328001</v>
      </c>
      <c r="N2">
        <v>1</v>
      </c>
      <c r="O2">
        <v>0.28199999999999997</v>
      </c>
      <c r="P2">
        <f>((L2*30)/48)*(1/0.96)/O2</f>
        <v>112775.27047779999</v>
      </c>
      <c r="R2" t="b">
        <f>IF(S2=A2,TRUE,FALSE)</f>
        <v>1</v>
      </c>
      <c r="S2" t="s">
        <v>219</v>
      </c>
      <c r="T2">
        <v>112775.27047779999</v>
      </c>
      <c r="W2" t="s">
        <v>220</v>
      </c>
      <c r="X2" t="s">
        <v>221</v>
      </c>
      <c r="Y2">
        <v>0</v>
      </c>
      <c r="Z2">
        <v>2</v>
      </c>
      <c r="AA2" t="s">
        <v>222</v>
      </c>
      <c r="AB2">
        <v>2</v>
      </c>
      <c r="AC2" t="s">
        <v>223</v>
      </c>
      <c r="AD2" t="s">
        <v>223</v>
      </c>
      <c r="AE2" t="s">
        <v>224</v>
      </c>
      <c r="AF2">
        <v>1</v>
      </c>
    </row>
    <row r="3" spans="1:32">
      <c r="A3" t="s">
        <v>225</v>
      </c>
      <c r="B3" t="s">
        <v>220</v>
      </c>
      <c r="C3" t="s">
        <v>226</v>
      </c>
      <c r="D3">
        <v>2</v>
      </c>
      <c r="E3">
        <v>6</v>
      </c>
      <c r="F3" t="s">
        <v>227</v>
      </c>
      <c r="G3">
        <v>4</v>
      </c>
      <c r="H3" t="s">
        <v>223</v>
      </c>
      <c r="I3" t="s">
        <v>223</v>
      </c>
      <c r="J3" t="s">
        <v>224</v>
      </c>
      <c r="K3">
        <v>2</v>
      </c>
      <c r="L3">
        <v>205.71983168400001</v>
      </c>
      <c r="M3">
        <v>11.9300495268839</v>
      </c>
      <c r="N3">
        <v>2</v>
      </c>
      <c r="O3" t="s">
        <v>361</v>
      </c>
      <c r="P3">
        <f>((L3*30)/(2*48*(1/0.96)+30/48*(1/0.96)))/(0.375+0.333+0.375)</f>
        <v>56.617499447528608</v>
      </c>
      <c r="R3" t="b">
        <f t="shared" ref="R3:R63" si="0">IF(S3=A3,TRUE,FALSE)</f>
        <v>1</v>
      </c>
      <c r="S3" t="s">
        <v>225</v>
      </c>
      <c r="T3">
        <v>56.617499447528608</v>
      </c>
      <c r="W3" t="s">
        <v>220</v>
      </c>
      <c r="X3" t="s">
        <v>226</v>
      </c>
      <c r="Y3">
        <v>2</v>
      </c>
      <c r="Z3">
        <v>6</v>
      </c>
      <c r="AA3" s="3">
        <v>45694</v>
      </c>
      <c r="AB3">
        <v>4</v>
      </c>
      <c r="AC3" t="s">
        <v>223</v>
      </c>
      <c r="AD3" t="s">
        <v>223</v>
      </c>
      <c r="AE3" t="s">
        <v>224</v>
      </c>
      <c r="AF3">
        <v>2</v>
      </c>
    </row>
    <row r="4" spans="1:32">
      <c r="A4" t="s">
        <v>228</v>
      </c>
      <c r="B4" t="s">
        <v>220</v>
      </c>
      <c r="C4" t="s">
        <v>229</v>
      </c>
      <c r="D4">
        <v>6</v>
      </c>
      <c r="E4">
        <v>10</v>
      </c>
      <c r="F4" t="s">
        <v>230</v>
      </c>
      <c r="G4">
        <v>4</v>
      </c>
      <c r="H4" t="s">
        <v>223</v>
      </c>
      <c r="I4" t="s">
        <v>223</v>
      </c>
      <c r="J4" t="s">
        <v>224</v>
      </c>
      <c r="K4">
        <v>3</v>
      </c>
      <c r="L4">
        <v>28.032655269999999</v>
      </c>
      <c r="M4">
        <v>6.1562278657703997</v>
      </c>
      <c r="N4">
        <v>3</v>
      </c>
      <c r="O4" t="s">
        <v>361</v>
      </c>
      <c r="P4">
        <f>((L4*30)/(2*48*(1/0.96)+30/48*(1/0.96)))/(0.301+0.488+0.306)</f>
        <v>7.6305017800634412</v>
      </c>
      <c r="R4" t="b">
        <f t="shared" si="0"/>
        <v>1</v>
      </c>
      <c r="S4" t="s">
        <v>228</v>
      </c>
      <c r="T4">
        <v>7.6305017800634412</v>
      </c>
      <c r="W4" t="s">
        <v>220</v>
      </c>
      <c r="X4" t="s">
        <v>229</v>
      </c>
      <c r="Y4">
        <v>6</v>
      </c>
      <c r="Z4">
        <v>10</v>
      </c>
      <c r="AA4" s="3">
        <v>45818</v>
      </c>
      <c r="AB4">
        <v>4</v>
      </c>
      <c r="AC4" t="s">
        <v>223</v>
      </c>
      <c r="AD4" t="s">
        <v>223</v>
      </c>
      <c r="AE4" t="s">
        <v>224</v>
      </c>
      <c r="AF4">
        <v>3</v>
      </c>
    </row>
    <row r="5" spans="1:32">
      <c r="A5" t="s">
        <v>231</v>
      </c>
      <c r="B5" t="s">
        <v>220</v>
      </c>
      <c r="C5" t="s">
        <v>232</v>
      </c>
      <c r="D5">
        <v>10</v>
      </c>
      <c r="E5">
        <v>14</v>
      </c>
      <c r="F5" t="s">
        <v>233</v>
      </c>
      <c r="G5">
        <v>4</v>
      </c>
      <c r="H5" t="s">
        <v>223</v>
      </c>
      <c r="I5" t="s">
        <v>223</v>
      </c>
      <c r="J5" t="s">
        <v>224</v>
      </c>
      <c r="K5">
        <v>4</v>
      </c>
      <c r="L5">
        <v>18530.090467666701</v>
      </c>
      <c r="M5">
        <v>10477.615353569299</v>
      </c>
      <c r="N5">
        <v>4</v>
      </c>
      <c r="O5">
        <v>0.3</v>
      </c>
      <c r="P5">
        <f t="shared" ref="P5:P63" si="1">((L5*30)/48)*(1/0.96)/O5</f>
        <v>40212.869938512813</v>
      </c>
      <c r="R5" t="b">
        <f t="shared" si="0"/>
        <v>1</v>
      </c>
      <c r="S5" t="s">
        <v>231</v>
      </c>
      <c r="T5">
        <v>40212.869938512813</v>
      </c>
      <c r="W5" t="s">
        <v>220</v>
      </c>
      <c r="X5" t="s">
        <v>232</v>
      </c>
      <c r="Y5">
        <v>10</v>
      </c>
      <c r="Z5">
        <v>14</v>
      </c>
      <c r="AA5" s="3">
        <v>45944</v>
      </c>
      <c r="AB5">
        <v>4</v>
      </c>
      <c r="AC5" t="s">
        <v>223</v>
      </c>
      <c r="AD5" t="s">
        <v>223</v>
      </c>
      <c r="AE5" t="s">
        <v>224</v>
      </c>
      <c r="AF5">
        <v>4</v>
      </c>
    </row>
    <row r="6" spans="1:32">
      <c r="A6" t="s">
        <v>234</v>
      </c>
      <c r="B6" t="s">
        <v>220</v>
      </c>
      <c r="C6" t="s">
        <v>235</v>
      </c>
      <c r="D6">
        <v>14</v>
      </c>
      <c r="E6">
        <v>18</v>
      </c>
      <c r="F6" t="s">
        <v>236</v>
      </c>
      <c r="G6">
        <v>4</v>
      </c>
      <c r="H6" t="s">
        <v>223</v>
      </c>
      <c r="I6" t="s">
        <v>223</v>
      </c>
      <c r="J6" t="s">
        <v>224</v>
      </c>
      <c r="K6">
        <v>5</v>
      </c>
      <c r="L6">
        <v>85149.776016346295</v>
      </c>
      <c r="M6">
        <v>4718.8442132364999</v>
      </c>
      <c r="N6">
        <v>5</v>
      </c>
      <c r="O6">
        <v>0.29699999999999999</v>
      </c>
      <c r="P6">
        <f t="shared" si="1"/>
        <v>186653.37405378945</v>
      </c>
      <c r="R6" t="b">
        <f t="shared" si="0"/>
        <v>1</v>
      </c>
      <c r="S6" t="s">
        <v>234</v>
      </c>
      <c r="T6">
        <v>186653.37405378945</v>
      </c>
      <c r="W6" t="s">
        <v>220</v>
      </c>
      <c r="X6" t="s">
        <v>235</v>
      </c>
      <c r="Y6">
        <v>14</v>
      </c>
      <c r="Z6">
        <v>18</v>
      </c>
      <c r="AA6" t="s">
        <v>236</v>
      </c>
      <c r="AB6">
        <v>4</v>
      </c>
      <c r="AC6" t="s">
        <v>223</v>
      </c>
      <c r="AD6" t="s">
        <v>223</v>
      </c>
      <c r="AE6" t="s">
        <v>224</v>
      </c>
      <c r="AF6">
        <v>5</v>
      </c>
    </row>
    <row r="7" spans="1:32">
      <c r="A7" t="s">
        <v>237</v>
      </c>
      <c r="B7" t="s">
        <v>220</v>
      </c>
      <c r="C7" t="s">
        <v>238</v>
      </c>
      <c r="D7">
        <v>18</v>
      </c>
      <c r="E7">
        <v>21</v>
      </c>
      <c r="F7" t="s">
        <v>239</v>
      </c>
      <c r="G7">
        <v>3</v>
      </c>
      <c r="H7" t="s">
        <v>223</v>
      </c>
      <c r="I7" t="s">
        <v>223</v>
      </c>
      <c r="J7" t="s">
        <v>224</v>
      </c>
      <c r="K7">
        <v>6</v>
      </c>
      <c r="L7">
        <v>30593.812000000002</v>
      </c>
      <c r="M7">
        <v>1493.92088034465</v>
      </c>
      <c r="N7">
        <v>6</v>
      </c>
      <c r="O7">
        <v>0.28699999999999998</v>
      </c>
      <c r="P7">
        <f t="shared" si="1"/>
        <v>69400.161512775871</v>
      </c>
      <c r="R7" t="b">
        <f t="shared" si="0"/>
        <v>1</v>
      </c>
      <c r="S7" t="s">
        <v>237</v>
      </c>
      <c r="T7">
        <v>69400.161512775871</v>
      </c>
      <c r="W7" t="s">
        <v>220</v>
      </c>
      <c r="X7" t="s">
        <v>238</v>
      </c>
      <c r="Y7">
        <v>18</v>
      </c>
      <c r="Z7">
        <v>21</v>
      </c>
      <c r="AA7" t="s">
        <v>239</v>
      </c>
      <c r="AB7">
        <v>3</v>
      </c>
      <c r="AC7" t="s">
        <v>223</v>
      </c>
      <c r="AD7" t="s">
        <v>223</v>
      </c>
      <c r="AE7" t="s">
        <v>224</v>
      </c>
      <c r="AF7">
        <v>6</v>
      </c>
    </row>
    <row r="8" spans="1:32">
      <c r="A8" t="s">
        <v>240</v>
      </c>
      <c r="B8" t="s">
        <v>220</v>
      </c>
      <c r="C8" t="s">
        <v>241</v>
      </c>
      <c r="D8">
        <v>21</v>
      </c>
      <c r="E8">
        <v>23</v>
      </c>
      <c r="F8" t="s">
        <v>242</v>
      </c>
      <c r="G8">
        <v>2</v>
      </c>
      <c r="H8" t="s">
        <v>223</v>
      </c>
      <c r="I8" t="s">
        <v>223</v>
      </c>
      <c r="J8" t="s">
        <v>224</v>
      </c>
      <c r="K8">
        <v>7</v>
      </c>
      <c r="L8">
        <v>75057.251636666697</v>
      </c>
      <c r="M8">
        <v>3318.0096522613399</v>
      </c>
      <c r="N8">
        <v>7</v>
      </c>
      <c r="O8">
        <v>0.3</v>
      </c>
      <c r="P8">
        <f t="shared" si="1"/>
        <v>162884.66066984963</v>
      </c>
      <c r="R8" t="b">
        <f t="shared" si="0"/>
        <v>1</v>
      </c>
      <c r="S8" t="s">
        <v>240</v>
      </c>
      <c r="T8">
        <v>162884.66066984963</v>
      </c>
      <c r="W8" t="s">
        <v>220</v>
      </c>
      <c r="X8" t="s">
        <v>241</v>
      </c>
      <c r="Y8">
        <v>21</v>
      </c>
      <c r="Z8">
        <v>23</v>
      </c>
      <c r="AA8" t="s">
        <v>242</v>
      </c>
      <c r="AB8">
        <v>2</v>
      </c>
      <c r="AC8" t="s">
        <v>223</v>
      </c>
      <c r="AD8" t="s">
        <v>223</v>
      </c>
      <c r="AE8" t="s">
        <v>224</v>
      </c>
      <c r="AF8">
        <v>7</v>
      </c>
    </row>
    <row r="9" spans="1:32">
      <c r="A9" t="s">
        <v>243</v>
      </c>
      <c r="B9" t="s">
        <v>220</v>
      </c>
      <c r="C9" t="s">
        <v>244</v>
      </c>
      <c r="D9">
        <v>23</v>
      </c>
      <c r="E9">
        <v>25</v>
      </c>
      <c r="F9" t="s">
        <v>245</v>
      </c>
      <c r="G9">
        <v>2</v>
      </c>
      <c r="H9" t="s">
        <v>223</v>
      </c>
      <c r="I9" t="s">
        <v>223</v>
      </c>
      <c r="J9" t="s">
        <v>224</v>
      </c>
      <c r="K9">
        <v>8</v>
      </c>
      <c r="L9">
        <v>394997.42496666702</v>
      </c>
      <c r="M9">
        <v>117135.761021588</v>
      </c>
      <c r="N9">
        <v>8</v>
      </c>
      <c r="O9">
        <v>0.30599999999999999</v>
      </c>
      <c r="P9">
        <f t="shared" si="1"/>
        <v>840391.44405013241</v>
      </c>
      <c r="R9" t="b">
        <f t="shared" si="0"/>
        <v>1</v>
      </c>
      <c r="S9" t="s">
        <v>243</v>
      </c>
      <c r="T9">
        <v>840391.44405013241</v>
      </c>
      <c r="W9" t="s">
        <v>220</v>
      </c>
      <c r="X9" t="s">
        <v>244</v>
      </c>
      <c r="Y9">
        <v>23</v>
      </c>
      <c r="Z9">
        <v>25</v>
      </c>
      <c r="AA9" t="s">
        <v>245</v>
      </c>
      <c r="AB9">
        <v>2</v>
      </c>
      <c r="AC9" t="s">
        <v>223</v>
      </c>
      <c r="AD9" t="s">
        <v>223</v>
      </c>
      <c r="AE9" t="s">
        <v>224</v>
      </c>
      <c r="AF9">
        <v>8</v>
      </c>
    </row>
    <row r="10" spans="1:32">
      <c r="A10" t="s">
        <v>246</v>
      </c>
      <c r="B10" t="s">
        <v>220</v>
      </c>
      <c r="C10" t="s">
        <v>247</v>
      </c>
      <c r="D10">
        <v>25</v>
      </c>
      <c r="E10">
        <v>27</v>
      </c>
      <c r="F10" t="s">
        <v>248</v>
      </c>
      <c r="G10">
        <v>2</v>
      </c>
      <c r="H10" t="s">
        <v>223</v>
      </c>
      <c r="I10" t="s">
        <v>223</v>
      </c>
      <c r="J10" t="s">
        <v>224</v>
      </c>
      <c r="K10">
        <v>9</v>
      </c>
      <c r="L10">
        <v>146396.59983333299</v>
      </c>
      <c r="M10">
        <v>7475.6297332911699</v>
      </c>
      <c r="N10">
        <v>9</v>
      </c>
      <c r="O10">
        <v>0.33</v>
      </c>
      <c r="P10">
        <f t="shared" si="1"/>
        <v>288819.04954492784</v>
      </c>
      <c r="R10" t="b">
        <f t="shared" si="0"/>
        <v>1</v>
      </c>
      <c r="S10" t="s">
        <v>246</v>
      </c>
      <c r="T10">
        <v>288819.04954492784</v>
      </c>
      <c r="W10" t="s">
        <v>220</v>
      </c>
      <c r="X10" t="s">
        <v>247</v>
      </c>
      <c r="Y10">
        <v>25</v>
      </c>
      <c r="Z10">
        <v>27</v>
      </c>
      <c r="AA10" t="s">
        <v>248</v>
      </c>
      <c r="AB10">
        <v>2</v>
      </c>
      <c r="AC10" t="s">
        <v>223</v>
      </c>
      <c r="AD10" t="s">
        <v>223</v>
      </c>
      <c r="AE10" t="s">
        <v>224</v>
      </c>
      <c r="AF10">
        <v>9</v>
      </c>
    </row>
    <row r="11" spans="1:32">
      <c r="A11" t="s">
        <v>249</v>
      </c>
      <c r="B11" t="s">
        <v>250</v>
      </c>
      <c r="C11" t="s">
        <v>221</v>
      </c>
      <c r="D11">
        <v>0</v>
      </c>
      <c r="E11">
        <v>2</v>
      </c>
      <c r="F11" t="s">
        <v>222</v>
      </c>
      <c r="G11">
        <v>2</v>
      </c>
      <c r="H11" t="s">
        <v>223</v>
      </c>
      <c r="I11" t="s">
        <v>223</v>
      </c>
      <c r="J11" t="s">
        <v>224</v>
      </c>
      <c r="K11">
        <v>1</v>
      </c>
      <c r="L11">
        <v>54283.825099333299</v>
      </c>
      <c r="M11">
        <v>9551.6721726059604</v>
      </c>
      <c r="N11">
        <v>10</v>
      </c>
      <c r="O11">
        <v>0.31</v>
      </c>
      <c r="P11">
        <f t="shared" si="1"/>
        <v>114003.3289216509</v>
      </c>
      <c r="R11" t="b">
        <f t="shared" si="0"/>
        <v>1</v>
      </c>
      <c r="S11" t="s">
        <v>249</v>
      </c>
      <c r="T11">
        <v>114003.3289216509</v>
      </c>
      <c r="W11" t="s">
        <v>250</v>
      </c>
      <c r="X11" t="s">
        <v>221</v>
      </c>
      <c r="Y11">
        <v>0</v>
      </c>
      <c r="Z11">
        <v>2</v>
      </c>
      <c r="AA11" t="s">
        <v>222</v>
      </c>
      <c r="AB11">
        <v>2</v>
      </c>
      <c r="AC11" t="s">
        <v>223</v>
      </c>
      <c r="AD11" t="s">
        <v>223</v>
      </c>
      <c r="AE11" t="s">
        <v>224</v>
      </c>
      <c r="AF11">
        <v>1</v>
      </c>
    </row>
    <row r="12" spans="1:32">
      <c r="A12" t="s">
        <v>251</v>
      </c>
      <c r="B12" t="s">
        <v>250</v>
      </c>
      <c r="C12" t="s">
        <v>226</v>
      </c>
      <c r="D12">
        <v>2</v>
      </c>
      <c r="E12">
        <v>6</v>
      </c>
      <c r="F12" t="s">
        <v>227</v>
      </c>
      <c r="G12">
        <v>4</v>
      </c>
      <c r="H12" t="s">
        <v>223</v>
      </c>
      <c r="I12" t="s">
        <v>223</v>
      </c>
      <c r="J12" t="s">
        <v>224</v>
      </c>
      <c r="K12">
        <v>2</v>
      </c>
      <c r="L12">
        <v>2402.6416515000001</v>
      </c>
      <c r="M12">
        <v>95.721975629274397</v>
      </c>
      <c r="N12">
        <v>11</v>
      </c>
      <c r="O12" t="s">
        <v>361</v>
      </c>
      <c r="P12">
        <f>((L12*30)/(2*48*(1/0.96)+30/48*(1/0.96)))/(0.33+346+311)</f>
        <v>1.0894530746026958</v>
      </c>
      <c r="R12" t="b">
        <f t="shared" si="0"/>
        <v>1</v>
      </c>
      <c r="S12" t="s">
        <v>251</v>
      </c>
      <c r="T12">
        <v>1.0894530746026958</v>
      </c>
      <c r="W12" t="s">
        <v>250</v>
      </c>
      <c r="X12" t="s">
        <v>226</v>
      </c>
      <c r="Y12">
        <v>2</v>
      </c>
      <c r="Z12">
        <v>6</v>
      </c>
      <c r="AA12" s="3">
        <v>45694</v>
      </c>
      <c r="AB12">
        <v>4</v>
      </c>
      <c r="AC12" t="s">
        <v>223</v>
      </c>
      <c r="AD12" t="s">
        <v>223</v>
      </c>
      <c r="AE12" t="s">
        <v>224</v>
      </c>
      <c r="AF12">
        <v>2</v>
      </c>
    </row>
    <row r="13" spans="1:32">
      <c r="A13" t="s">
        <v>252</v>
      </c>
      <c r="B13" t="s">
        <v>250</v>
      </c>
      <c r="C13" t="s">
        <v>229</v>
      </c>
      <c r="D13">
        <v>6</v>
      </c>
      <c r="E13">
        <v>10</v>
      </c>
      <c r="F13" t="s">
        <v>230</v>
      </c>
      <c r="G13">
        <v>4</v>
      </c>
      <c r="H13" t="s">
        <v>223</v>
      </c>
      <c r="I13" t="s">
        <v>223</v>
      </c>
      <c r="J13" t="s">
        <v>224</v>
      </c>
      <c r="K13">
        <v>3</v>
      </c>
      <c r="L13">
        <v>548.25188889250001</v>
      </c>
      <c r="M13">
        <v>84.623476235130198</v>
      </c>
      <c r="N13">
        <v>12</v>
      </c>
      <c r="O13" t="s">
        <v>361</v>
      </c>
      <c r="P13">
        <f>((L13*30)/(2*48*(1/0.96)+30/48*(1/0.96)))/(0.342+0.26+0.387)</f>
        <v>165.22920979524051</v>
      </c>
      <c r="R13" t="b">
        <f t="shared" si="0"/>
        <v>1</v>
      </c>
      <c r="S13" t="s">
        <v>252</v>
      </c>
      <c r="T13">
        <v>165.22920979524051</v>
      </c>
      <c r="W13" t="s">
        <v>250</v>
      </c>
      <c r="X13" t="s">
        <v>229</v>
      </c>
      <c r="Y13">
        <v>6</v>
      </c>
      <c r="Z13">
        <v>10</v>
      </c>
      <c r="AA13" s="3">
        <v>45818</v>
      </c>
      <c r="AB13">
        <v>4</v>
      </c>
      <c r="AC13" t="s">
        <v>223</v>
      </c>
      <c r="AD13" t="s">
        <v>223</v>
      </c>
      <c r="AE13" t="s">
        <v>224</v>
      </c>
      <c r="AF13">
        <v>3</v>
      </c>
    </row>
    <row r="14" spans="1:32">
      <c r="A14" t="s">
        <v>253</v>
      </c>
      <c r="B14" t="s">
        <v>250</v>
      </c>
      <c r="C14" t="s">
        <v>232</v>
      </c>
      <c r="D14">
        <v>10</v>
      </c>
      <c r="E14">
        <v>14</v>
      </c>
      <c r="F14" t="s">
        <v>233</v>
      </c>
      <c r="G14">
        <v>4</v>
      </c>
      <c r="H14" t="s">
        <v>223</v>
      </c>
      <c r="I14" t="s">
        <v>223</v>
      </c>
      <c r="J14" t="s">
        <v>224</v>
      </c>
      <c r="K14">
        <v>4</v>
      </c>
      <c r="L14">
        <v>59433.966028499999</v>
      </c>
      <c r="M14">
        <v>14219.9628968583</v>
      </c>
      <c r="N14">
        <v>13</v>
      </c>
      <c r="O14">
        <v>0.33100000000000002</v>
      </c>
      <c r="P14">
        <f t="shared" si="1"/>
        <v>116900.26676678153</v>
      </c>
      <c r="R14" t="b">
        <f t="shared" si="0"/>
        <v>1</v>
      </c>
      <c r="S14" t="s">
        <v>253</v>
      </c>
      <c r="T14">
        <v>116900.26676678153</v>
      </c>
      <c r="W14" t="s">
        <v>250</v>
      </c>
      <c r="X14" t="s">
        <v>232</v>
      </c>
      <c r="Y14">
        <v>10</v>
      </c>
      <c r="Z14">
        <v>14</v>
      </c>
      <c r="AA14" s="3">
        <v>45944</v>
      </c>
      <c r="AB14">
        <v>4</v>
      </c>
      <c r="AC14" t="s">
        <v>223</v>
      </c>
      <c r="AD14" t="s">
        <v>223</v>
      </c>
      <c r="AE14" t="s">
        <v>224</v>
      </c>
      <c r="AF14">
        <v>4</v>
      </c>
    </row>
    <row r="15" spans="1:32">
      <c r="A15" t="s">
        <v>254</v>
      </c>
      <c r="B15" t="s">
        <v>250</v>
      </c>
      <c r="C15" t="s">
        <v>235</v>
      </c>
      <c r="D15">
        <v>14</v>
      </c>
      <c r="E15">
        <v>18</v>
      </c>
      <c r="F15" t="s">
        <v>236</v>
      </c>
      <c r="G15">
        <v>4</v>
      </c>
      <c r="H15" t="s">
        <v>223</v>
      </c>
      <c r="I15" t="s">
        <v>223</v>
      </c>
      <c r="J15" t="s">
        <v>224</v>
      </c>
      <c r="K15">
        <v>5</v>
      </c>
      <c r="L15">
        <v>64852.069264199999</v>
      </c>
      <c r="M15">
        <v>3268.5180067423998</v>
      </c>
      <c r="N15">
        <v>14</v>
      </c>
      <c r="O15">
        <v>0.28199999999999997</v>
      </c>
      <c r="P15">
        <f t="shared" si="1"/>
        <v>149721.2739735705</v>
      </c>
      <c r="R15" t="b">
        <f t="shared" si="0"/>
        <v>1</v>
      </c>
      <c r="S15" t="s">
        <v>254</v>
      </c>
      <c r="T15">
        <v>149721.2739735705</v>
      </c>
      <c r="W15" t="s">
        <v>250</v>
      </c>
      <c r="X15" t="s">
        <v>235</v>
      </c>
      <c r="Y15">
        <v>14</v>
      </c>
      <c r="Z15">
        <v>18</v>
      </c>
      <c r="AA15" t="s">
        <v>236</v>
      </c>
      <c r="AB15">
        <v>4</v>
      </c>
      <c r="AC15" t="s">
        <v>223</v>
      </c>
      <c r="AD15" t="s">
        <v>223</v>
      </c>
      <c r="AE15" t="s">
        <v>224</v>
      </c>
      <c r="AF15">
        <v>5</v>
      </c>
    </row>
    <row r="16" spans="1:32">
      <c r="A16" t="s">
        <v>255</v>
      </c>
      <c r="B16" t="s">
        <v>250</v>
      </c>
      <c r="C16" t="s">
        <v>238</v>
      </c>
      <c r="D16">
        <v>18</v>
      </c>
      <c r="E16">
        <v>21</v>
      </c>
      <c r="F16" t="s">
        <v>239</v>
      </c>
      <c r="G16">
        <v>3</v>
      </c>
      <c r="H16" t="s">
        <v>223</v>
      </c>
      <c r="I16" t="s">
        <v>223</v>
      </c>
      <c r="J16" t="s">
        <v>224</v>
      </c>
      <c r="K16">
        <v>6</v>
      </c>
      <c r="L16">
        <v>83623.739509999999</v>
      </c>
      <c r="M16">
        <v>2677.61149249968</v>
      </c>
      <c r="N16">
        <v>15</v>
      </c>
      <c r="O16">
        <v>0.29799999999999999</v>
      </c>
      <c r="P16">
        <f t="shared" si="1"/>
        <v>182693.08303184423</v>
      </c>
      <c r="R16" t="b">
        <f t="shared" si="0"/>
        <v>1</v>
      </c>
      <c r="S16" t="s">
        <v>255</v>
      </c>
      <c r="T16">
        <v>182693.08303184423</v>
      </c>
      <c r="W16" t="s">
        <v>250</v>
      </c>
      <c r="X16" t="s">
        <v>238</v>
      </c>
      <c r="Y16">
        <v>18</v>
      </c>
      <c r="Z16">
        <v>21</v>
      </c>
      <c r="AA16" t="s">
        <v>239</v>
      </c>
      <c r="AB16">
        <v>3</v>
      </c>
      <c r="AC16" t="s">
        <v>223</v>
      </c>
      <c r="AD16" t="s">
        <v>223</v>
      </c>
      <c r="AE16" t="s">
        <v>224</v>
      </c>
      <c r="AF16">
        <v>6</v>
      </c>
    </row>
    <row r="17" spans="1:32">
      <c r="A17" t="s">
        <v>256</v>
      </c>
      <c r="B17" t="s">
        <v>250</v>
      </c>
      <c r="C17" t="s">
        <v>241</v>
      </c>
      <c r="D17">
        <v>21</v>
      </c>
      <c r="E17">
        <v>23</v>
      </c>
      <c r="F17" t="s">
        <v>242</v>
      </c>
      <c r="G17">
        <v>2</v>
      </c>
      <c r="H17" t="s">
        <v>223</v>
      </c>
      <c r="I17" t="s">
        <v>223</v>
      </c>
      <c r="J17" t="s">
        <v>224</v>
      </c>
      <c r="K17">
        <v>7</v>
      </c>
      <c r="L17">
        <v>82490.933503333305</v>
      </c>
      <c r="M17">
        <v>2410.9988547743701</v>
      </c>
      <c r="N17">
        <v>16</v>
      </c>
      <c r="O17">
        <v>0.28799999999999998</v>
      </c>
      <c r="P17">
        <f t="shared" si="1"/>
        <v>186475.81539201146</v>
      </c>
      <c r="R17" t="b">
        <f t="shared" si="0"/>
        <v>1</v>
      </c>
      <c r="S17" t="s">
        <v>256</v>
      </c>
      <c r="T17">
        <v>186475.81539201146</v>
      </c>
      <c r="W17" t="s">
        <v>250</v>
      </c>
      <c r="X17" t="s">
        <v>241</v>
      </c>
      <c r="Y17">
        <v>21</v>
      </c>
      <c r="Z17">
        <v>23</v>
      </c>
      <c r="AA17" t="s">
        <v>242</v>
      </c>
      <c r="AB17">
        <v>2</v>
      </c>
      <c r="AC17" t="s">
        <v>223</v>
      </c>
      <c r="AD17" t="s">
        <v>223</v>
      </c>
      <c r="AE17" t="s">
        <v>224</v>
      </c>
      <c r="AF17">
        <v>7</v>
      </c>
    </row>
    <row r="18" spans="1:32">
      <c r="A18" t="s">
        <v>257</v>
      </c>
      <c r="B18" t="s">
        <v>250</v>
      </c>
      <c r="C18" t="s">
        <v>244</v>
      </c>
      <c r="D18">
        <v>23</v>
      </c>
      <c r="E18">
        <v>25</v>
      </c>
      <c r="F18" t="s">
        <v>245</v>
      </c>
      <c r="G18">
        <v>2</v>
      </c>
      <c r="H18" t="s">
        <v>223</v>
      </c>
      <c r="I18" t="s">
        <v>223</v>
      </c>
      <c r="J18" t="s">
        <v>224</v>
      </c>
      <c r="K18">
        <v>8</v>
      </c>
      <c r="L18">
        <v>170123.07764999999</v>
      </c>
      <c r="M18">
        <v>16449.318578745701</v>
      </c>
      <c r="N18">
        <v>17</v>
      </c>
      <c r="O18">
        <v>0.38600000000000001</v>
      </c>
      <c r="P18">
        <f t="shared" si="1"/>
        <v>286935.78241377918</v>
      </c>
      <c r="R18" t="b">
        <f t="shared" si="0"/>
        <v>1</v>
      </c>
      <c r="S18" t="s">
        <v>257</v>
      </c>
      <c r="T18">
        <v>286935.78241377918</v>
      </c>
      <c r="W18" t="s">
        <v>250</v>
      </c>
      <c r="X18" t="s">
        <v>244</v>
      </c>
      <c r="Y18">
        <v>23</v>
      </c>
      <c r="Z18">
        <v>25</v>
      </c>
      <c r="AA18" t="s">
        <v>245</v>
      </c>
      <c r="AB18">
        <v>2</v>
      </c>
      <c r="AC18" t="s">
        <v>223</v>
      </c>
      <c r="AD18" t="s">
        <v>223</v>
      </c>
      <c r="AE18" t="s">
        <v>224</v>
      </c>
      <c r="AF18">
        <v>8</v>
      </c>
    </row>
    <row r="19" spans="1:32">
      <c r="A19" t="s">
        <v>258</v>
      </c>
      <c r="B19" t="s">
        <v>250</v>
      </c>
      <c r="C19" t="s">
        <v>247</v>
      </c>
      <c r="D19">
        <v>25</v>
      </c>
      <c r="E19">
        <v>27</v>
      </c>
      <c r="F19" t="s">
        <v>248</v>
      </c>
      <c r="G19">
        <v>2</v>
      </c>
      <c r="H19" t="s">
        <v>223</v>
      </c>
      <c r="I19" t="s">
        <v>223</v>
      </c>
      <c r="J19" t="s">
        <v>224</v>
      </c>
      <c r="K19">
        <v>9</v>
      </c>
      <c r="L19">
        <v>133318.73609333299</v>
      </c>
      <c r="M19">
        <v>12004.393995009301</v>
      </c>
      <c r="N19">
        <v>18</v>
      </c>
      <c r="O19">
        <v>0.29299999999999998</v>
      </c>
      <c r="P19">
        <f t="shared" si="1"/>
        <v>296232.25987746421</v>
      </c>
      <c r="R19" t="b">
        <f t="shared" si="0"/>
        <v>1</v>
      </c>
      <c r="S19" t="s">
        <v>258</v>
      </c>
      <c r="T19">
        <v>296232.25987746421</v>
      </c>
      <c r="W19" t="s">
        <v>250</v>
      </c>
      <c r="X19" t="s">
        <v>247</v>
      </c>
      <c r="Y19">
        <v>25</v>
      </c>
      <c r="Z19">
        <v>27</v>
      </c>
      <c r="AA19" t="s">
        <v>248</v>
      </c>
      <c r="AB19">
        <v>2</v>
      </c>
      <c r="AC19" t="s">
        <v>223</v>
      </c>
      <c r="AD19" t="s">
        <v>223</v>
      </c>
      <c r="AE19" t="s">
        <v>224</v>
      </c>
      <c r="AF19">
        <v>9</v>
      </c>
    </row>
    <row r="20" spans="1:32">
      <c r="A20" t="s">
        <v>259</v>
      </c>
      <c r="B20" t="s">
        <v>260</v>
      </c>
      <c r="C20" t="s">
        <v>221</v>
      </c>
      <c r="D20">
        <v>0</v>
      </c>
      <c r="E20">
        <v>2</v>
      </c>
      <c r="F20" t="s">
        <v>222</v>
      </c>
      <c r="G20">
        <v>2</v>
      </c>
      <c r="H20" t="s">
        <v>223</v>
      </c>
      <c r="I20" t="s">
        <v>223</v>
      </c>
      <c r="J20" t="s">
        <v>224</v>
      </c>
      <c r="K20">
        <v>1</v>
      </c>
      <c r="L20">
        <v>18036.3868666667</v>
      </c>
      <c r="M20">
        <v>929.62896030278705</v>
      </c>
      <c r="N20">
        <v>19</v>
      </c>
      <c r="O20">
        <v>0.32100000000000001</v>
      </c>
      <c r="P20">
        <f t="shared" si="1"/>
        <v>36580.807994764691</v>
      </c>
      <c r="R20" t="b">
        <f t="shared" si="0"/>
        <v>1</v>
      </c>
      <c r="S20" t="s">
        <v>259</v>
      </c>
      <c r="T20">
        <v>36580.807994764691</v>
      </c>
      <c r="W20" t="s">
        <v>260</v>
      </c>
      <c r="X20" t="s">
        <v>221</v>
      </c>
      <c r="Y20">
        <v>0</v>
      </c>
      <c r="Z20">
        <v>2</v>
      </c>
      <c r="AA20" t="s">
        <v>222</v>
      </c>
      <c r="AB20">
        <v>2</v>
      </c>
      <c r="AC20" t="s">
        <v>223</v>
      </c>
      <c r="AD20" t="s">
        <v>223</v>
      </c>
      <c r="AE20" t="s">
        <v>224</v>
      </c>
      <c r="AF20">
        <v>1</v>
      </c>
    </row>
    <row r="21" spans="1:32">
      <c r="A21" t="s">
        <v>261</v>
      </c>
      <c r="B21" t="s">
        <v>260</v>
      </c>
      <c r="C21" t="s">
        <v>226</v>
      </c>
      <c r="D21">
        <v>2</v>
      </c>
      <c r="E21">
        <v>6</v>
      </c>
      <c r="F21" t="s">
        <v>227</v>
      </c>
      <c r="G21">
        <v>4</v>
      </c>
      <c r="H21" t="s">
        <v>223</v>
      </c>
      <c r="I21" t="s">
        <v>223</v>
      </c>
      <c r="J21" t="s">
        <v>224</v>
      </c>
      <c r="K21">
        <v>2</v>
      </c>
      <c r="L21">
        <v>103.676662733333</v>
      </c>
      <c r="M21">
        <v>19.037722137391299</v>
      </c>
      <c r="N21">
        <v>20</v>
      </c>
      <c r="O21">
        <v>0.35599999999999998</v>
      </c>
      <c r="P21">
        <f t="shared" si="1"/>
        <v>189.60063848412082</v>
      </c>
      <c r="R21" t="b">
        <f t="shared" si="0"/>
        <v>1</v>
      </c>
      <c r="S21" t="s">
        <v>261</v>
      </c>
      <c r="T21">
        <v>189.60063848412082</v>
      </c>
      <c r="W21" t="s">
        <v>260</v>
      </c>
      <c r="X21" t="s">
        <v>226</v>
      </c>
      <c r="Y21">
        <v>2</v>
      </c>
      <c r="Z21">
        <v>6</v>
      </c>
      <c r="AA21" s="3">
        <v>45694</v>
      </c>
      <c r="AB21">
        <v>4</v>
      </c>
      <c r="AC21" t="s">
        <v>223</v>
      </c>
      <c r="AD21" t="s">
        <v>223</v>
      </c>
      <c r="AE21" t="s">
        <v>224</v>
      </c>
      <c r="AF21">
        <v>2</v>
      </c>
    </row>
    <row r="22" spans="1:32">
      <c r="A22" t="s">
        <v>262</v>
      </c>
      <c r="B22" t="s">
        <v>260</v>
      </c>
      <c r="C22" t="s">
        <v>229</v>
      </c>
      <c r="D22">
        <v>6</v>
      </c>
      <c r="E22">
        <v>10</v>
      </c>
      <c r="F22" t="s">
        <v>230</v>
      </c>
      <c r="G22">
        <v>4</v>
      </c>
      <c r="H22" t="s">
        <v>223</v>
      </c>
      <c r="I22" t="s">
        <v>223</v>
      </c>
      <c r="J22" t="s">
        <v>224</v>
      </c>
      <c r="K22">
        <v>3</v>
      </c>
      <c r="L22">
        <v>41.3818939466667</v>
      </c>
      <c r="M22">
        <v>7.3237443345277704</v>
      </c>
      <c r="N22">
        <v>21</v>
      </c>
      <c r="O22" t="s">
        <v>361</v>
      </c>
      <c r="P22">
        <f>((L22*30)/(2*48*(1/0.96)))/(0.318+0.394)</f>
        <v>17.436191269662938</v>
      </c>
      <c r="R22" t="b">
        <f t="shared" si="0"/>
        <v>1</v>
      </c>
      <c r="S22" t="s">
        <v>262</v>
      </c>
      <c r="T22">
        <v>17.436191269662938</v>
      </c>
      <c r="W22" t="s">
        <v>260</v>
      </c>
      <c r="X22" t="s">
        <v>229</v>
      </c>
      <c r="Y22">
        <v>6</v>
      </c>
      <c r="Z22">
        <v>10</v>
      </c>
      <c r="AA22" s="3">
        <v>45818</v>
      </c>
      <c r="AB22">
        <v>4</v>
      </c>
      <c r="AC22" t="s">
        <v>223</v>
      </c>
      <c r="AD22" t="s">
        <v>223</v>
      </c>
      <c r="AE22" t="s">
        <v>224</v>
      </c>
      <c r="AF22">
        <v>3</v>
      </c>
    </row>
    <row r="23" spans="1:32">
      <c r="A23" t="s">
        <v>263</v>
      </c>
      <c r="B23" t="s">
        <v>260</v>
      </c>
      <c r="C23" t="s">
        <v>232</v>
      </c>
      <c r="D23">
        <v>10</v>
      </c>
      <c r="E23">
        <v>14</v>
      </c>
      <c r="F23" t="s">
        <v>233</v>
      </c>
      <c r="G23">
        <v>4</v>
      </c>
      <c r="H23" t="s">
        <v>223</v>
      </c>
      <c r="I23" t="s">
        <v>223</v>
      </c>
      <c r="J23" t="s">
        <v>224</v>
      </c>
      <c r="K23">
        <v>4</v>
      </c>
      <c r="L23">
        <v>82749.133403333297</v>
      </c>
      <c r="M23">
        <v>5407.90202962291</v>
      </c>
      <c r="N23">
        <v>22</v>
      </c>
      <c r="O23">
        <v>0.35299999999999998</v>
      </c>
      <c r="P23">
        <f t="shared" si="1"/>
        <v>152615.10970574632</v>
      </c>
      <c r="R23" t="b">
        <f t="shared" si="0"/>
        <v>1</v>
      </c>
      <c r="S23" t="s">
        <v>263</v>
      </c>
      <c r="T23">
        <v>152615.10970574632</v>
      </c>
      <c r="W23" t="s">
        <v>260</v>
      </c>
      <c r="X23" t="s">
        <v>232</v>
      </c>
      <c r="Y23">
        <v>10</v>
      </c>
      <c r="Z23">
        <v>14</v>
      </c>
      <c r="AA23" s="3">
        <v>45944</v>
      </c>
      <c r="AB23">
        <v>4</v>
      </c>
      <c r="AC23" t="s">
        <v>223</v>
      </c>
      <c r="AD23" t="s">
        <v>223</v>
      </c>
      <c r="AE23" t="s">
        <v>224</v>
      </c>
      <c r="AF23">
        <v>4</v>
      </c>
    </row>
    <row r="24" spans="1:32">
      <c r="A24" t="s">
        <v>264</v>
      </c>
      <c r="B24" t="s">
        <v>260</v>
      </c>
      <c r="C24" t="s">
        <v>235</v>
      </c>
      <c r="D24">
        <v>14</v>
      </c>
      <c r="E24">
        <v>18</v>
      </c>
      <c r="F24" t="s">
        <v>236</v>
      </c>
      <c r="G24">
        <v>4</v>
      </c>
      <c r="H24" t="s">
        <v>223</v>
      </c>
      <c r="I24" t="s">
        <v>223</v>
      </c>
      <c r="J24" t="s">
        <v>224</v>
      </c>
      <c r="K24">
        <v>5</v>
      </c>
      <c r="L24">
        <v>77854.632018400007</v>
      </c>
      <c r="M24">
        <v>11056.708244801501</v>
      </c>
      <c r="N24">
        <v>23</v>
      </c>
      <c r="O24">
        <v>0.30099999999999999</v>
      </c>
      <c r="P24">
        <f t="shared" si="1"/>
        <v>168394.05111953217</v>
      </c>
      <c r="R24" t="b">
        <f t="shared" si="0"/>
        <v>1</v>
      </c>
      <c r="S24" t="s">
        <v>264</v>
      </c>
      <c r="T24">
        <v>168394.05111953217</v>
      </c>
      <c r="W24" t="s">
        <v>260</v>
      </c>
      <c r="X24" t="s">
        <v>235</v>
      </c>
      <c r="Y24">
        <v>14</v>
      </c>
      <c r="Z24">
        <v>18</v>
      </c>
      <c r="AA24" t="s">
        <v>236</v>
      </c>
      <c r="AB24">
        <v>4</v>
      </c>
      <c r="AC24" t="s">
        <v>223</v>
      </c>
      <c r="AD24" t="s">
        <v>223</v>
      </c>
      <c r="AE24" t="s">
        <v>224</v>
      </c>
      <c r="AF24">
        <v>5</v>
      </c>
    </row>
    <row r="25" spans="1:32">
      <c r="A25" t="s">
        <v>265</v>
      </c>
      <c r="B25" t="s">
        <v>260</v>
      </c>
      <c r="C25" t="s">
        <v>238</v>
      </c>
      <c r="D25">
        <v>18</v>
      </c>
      <c r="E25">
        <v>21</v>
      </c>
      <c r="F25" t="s">
        <v>239</v>
      </c>
      <c r="G25">
        <v>3</v>
      </c>
      <c r="H25" t="s">
        <v>223</v>
      </c>
      <c r="I25" t="s">
        <v>223</v>
      </c>
      <c r="J25" t="s">
        <v>224</v>
      </c>
      <c r="K25">
        <v>6</v>
      </c>
      <c r="L25">
        <v>92651.564941499993</v>
      </c>
      <c r="M25">
        <v>5668.0326267343899</v>
      </c>
      <c r="N25">
        <v>24</v>
      </c>
      <c r="O25">
        <v>0.33200000000000002</v>
      </c>
      <c r="P25">
        <f t="shared" si="1"/>
        <v>181686.8351168345</v>
      </c>
      <c r="R25" t="b">
        <f t="shared" si="0"/>
        <v>1</v>
      </c>
      <c r="S25" t="s">
        <v>265</v>
      </c>
      <c r="T25">
        <v>181686.8351168345</v>
      </c>
      <c r="W25" t="s">
        <v>260</v>
      </c>
      <c r="X25" t="s">
        <v>238</v>
      </c>
      <c r="Y25">
        <v>18</v>
      </c>
      <c r="Z25">
        <v>21</v>
      </c>
      <c r="AA25" t="s">
        <v>239</v>
      </c>
      <c r="AB25">
        <v>3</v>
      </c>
      <c r="AC25" t="s">
        <v>223</v>
      </c>
      <c r="AD25" t="s">
        <v>223</v>
      </c>
      <c r="AE25" t="s">
        <v>224</v>
      </c>
      <c r="AF25">
        <v>6</v>
      </c>
    </row>
    <row r="26" spans="1:32">
      <c r="A26" t="s">
        <v>266</v>
      </c>
      <c r="B26" t="s">
        <v>260</v>
      </c>
      <c r="C26" t="s">
        <v>241</v>
      </c>
      <c r="D26">
        <v>21</v>
      </c>
      <c r="E26">
        <v>23</v>
      </c>
      <c r="F26" t="s">
        <v>242</v>
      </c>
      <c r="G26">
        <v>2</v>
      </c>
      <c r="H26" t="s">
        <v>223</v>
      </c>
      <c r="I26" t="s">
        <v>223</v>
      </c>
      <c r="J26" t="s">
        <v>224</v>
      </c>
      <c r="K26">
        <v>7</v>
      </c>
      <c r="L26">
        <v>82650.825523333304</v>
      </c>
      <c r="M26">
        <v>3192.9921685312502</v>
      </c>
      <c r="N26">
        <v>25</v>
      </c>
      <c r="O26">
        <v>0.33700000000000002</v>
      </c>
      <c r="P26">
        <f t="shared" si="1"/>
        <v>159671.01246316553</v>
      </c>
      <c r="R26" t="b">
        <f t="shared" si="0"/>
        <v>1</v>
      </c>
      <c r="S26" t="s">
        <v>266</v>
      </c>
      <c r="T26">
        <v>159671.01246316553</v>
      </c>
      <c r="W26" t="s">
        <v>260</v>
      </c>
      <c r="X26" t="s">
        <v>241</v>
      </c>
      <c r="Y26">
        <v>21</v>
      </c>
      <c r="Z26">
        <v>23</v>
      </c>
      <c r="AA26" t="s">
        <v>242</v>
      </c>
      <c r="AB26">
        <v>2</v>
      </c>
      <c r="AC26" t="s">
        <v>223</v>
      </c>
      <c r="AD26" t="s">
        <v>223</v>
      </c>
      <c r="AE26" t="s">
        <v>224</v>
      </c>
      <c r="AF26">
        <v>7</v>
      </c>
    </row>
    <row r="27" spans="1:32">
      <c r="A27" t="s">
        <v>267</v>
      </c>
      <c r="B27" t="s">
        <v>260</v>
      </c>
      <c r="C27" t="s">
        <v>244</v>
      </c>
      <c r="D27">
        <v>23</v>
      </c>
      <c r="E27">
        <v>25</v>
      </c>
      <c r="F27" t="s">
        <v>245</v>
      </c>
      <c r="G27">
        <v>2</v>
      </c>
      <c r="H27" t="s">
        <v>223</v>
      </c>
      <c r="I27" t="s">
        <v>223</v>
      </c>
      <c r="J27" t="s">
        <v>224</v>
      </c>
      <c r="K27">
        <v>8</v>
      </c>
      <c r="L27">
        <v>116298.263366667</v>
      </c>
      <c r="M27">
        <v>5073.2602615656897</v>
      </c>
      <c r="N27">
        <v>26</v>
      </c>
      <c r="O27">
        <v>0.32700000000000001</v>
      </c>
      <c r="P27">
        <f t="shared" si="1"/>
        <v>231544.38902958354</v>
      </c>
      <c r="R27" t="b">
        <f t="shared" si="0"/>
        <v>1</v>
      </c>
      <c r="S27" t="s">
        <v>267</v>
      </c>
      <c r="T27">
        <v>231544.38902958354</v>
      </c>
      <c r="W27" t="s">
        <v>260</v>
      </c>
      <c r="X27" t="s">
        <v>244</v>
      </c>
      <c r="Y27">
        <v>23</v>
      </c>
      <c r="Z27">
        <v>25</v>
      </c>
      <c r="AA27" t="s">
        <v>245</v>
      </c>
      <c r="AB27">
        <v>2</v>
      </c>
      <c r="AC27" t="s">
        <v>223</v>
      </c>
      <c r="AD27" t="s">
        <v>223</v>
      </c>
      <c r="AE27" t="s">
        <v>224</v>
      </c>
      <c r="AF27">
        <v>8</v>
      </c>
    </row>
    <row r="28" spans="1:32">
      <c r="A28" t="s">
        <v>268</v>
      </c>
      <c r="B28" t="s">
        <v>260</v>
      </c>
      <c r="C28" t="s">
        <v>247</v>
      </c>
      <c r="D28">
        <v>25</v>
      </c>
      <c r="E28">
        <v>27</v>
      </c>
      <c r="F28" t="s">
        <v>248</v>
      </c>
      <c r="G28">
        <v>2</v>
      </c>
      <c r="H28" t="s">
        <v>223</v>
      </c>
      <c r="I28" t="s">
        <v>223</v>
      </c>
      <c r="J28" t="s">
        <v>224</v>
      </c>
      <c r="K28">
        <v>9</v>
      </c>
      <c r="L28">
        <v>140538.98863333301</v>
      </c>
      <c r="M28">
        <v>2910.18262354533</v>
      </c>
      <c r="N28">
        <v>27</v>
      </c>
      <c r="O28">
        <v>0.34</v>
      </c>
      <c r="P28">
        <f t="shared" si="1"/>
        <v>269108.05115144956</v>
      </c>
      <c r="R28" t="b">
        <f t="shared" si="0"/>
        <v>1</v>
      </c>
      <c r="S28" t="s">
        <v>268</v>
      </c>
      <c r="T28">
        <v>269108.05115144956</v>
      </c>
      <c r="W28" t="s">
        <v>260</v>
      </c>
      <c r="X28" t="s">
        <v>247</v>
      </c>
      <c r="Y28">
        <v>25</v>
      </c>
      <c r="Z28">
        <v>27</v>
      </c>
      <c r="AA28" t="s">
        <v>248</v>
      </c>
      <c r="AB28">
        <v>2</v>
      </c>
      <c r="AC28" t="s">
        <v>223</v>
      </c>
      <c r="AD28" t="s">
        <v>223</v>
      </c>
      <c r="AE28" t="s">
        <v>224</v>
      </c>
      <c r="AF28">
        <v>9</v>
      </c>
    </row>
    <row r="29" spans="1:32">
      <c r="A29" t="s">
        <v>269</v>
      </c>
      <c r="B29" t="s">
        <v>270</v>
      </c>
      <c r="C29" t="s">
        <v>271</v>
      </c>
      <c r="D29">
        <v>0</v>
      </c>
      <c r="E29">
        <v>2</v>
      </c>
      <c r="F29" t="s">
        <v>222</v>
      </c>
      <c r="G29">
        <v>2</v>
      </c>
      <c r="H29" t="s">
        <v>223</v>
      </c>
      <c r="I29" t="s">
        <v>223</v>
      </c>
      <c r="J29" t="s">
        <v>272</v>
      </c>
      <c r="K29">
        <v>1</v>
      </c>
      <c r="L29">
        <v>316.27685238499998</v>
      </c>
      <c r="M29">
        <v>74.997229325490494</v>
      </c>
      <c r="N29">
        <v>28</v>
      </c>
      <c r="O29" t="s">
        <v>361</v>
      </c>
      <c r="P29">
        <f>((L29*30)/(2*48*(1/0.96)+30/48*(1/0.96)))/(0.238+0.397+0.331)</f>
        <v>97.587291038255401</v>
      </c>
      <c r="R29" t="b">
        <f t="shared" si="0"/>
        <v>1</v>
      </c>
      <c r="S29" t="s">
        <v>269</v>
      </c>
      <c r="T29">
        <v>97.587291038255401</v>
      </c>
      <c r="W29" t="s">
        <v>270</v>
      </c>
      <c r="X29" t="s">
        <v>271</v>
      </c>
      <c r="Y29">
        <v>0</v>
      </c>
      <c r="Z29">
        <v>2</v>
      </c>
      <c r="AA29" t="s">
        <v>222</v>
      </c>
      <c r="AB29">
        <v>2</v>
      </c>
      <c r="AC29" t="s">
        <v>223</v>
      </c>
      <c r="AD29" t="s">
        <v>223</v>
      </c>
      <c r="AE29" t="s">
        <v>272</v>
      </c>
      <c r="AF29">
        <v>1</v>
      </c>
    </row>
    <row r="30" spans="1:32">
      <c r="A30" t="s">
        <v>273</v>
      </c>
      <c r="B30" t="s">
        <v>270</v>
      </c>
      <c r="C30" t="s">
        <v>274</v>
      </c>
      <c r="D30">
        <v>2</v>
      </c>
      <c r="E30">
        <v>4</v>
      </c>
      <c r="F30" t="s">
        <v>275</v>
      </c>
      <c r="G30">
        <v>2</v>
      </c>
      <c r="H30" t="s">
        <v>223</v>
      </c>
      <c r="I30" t="s">
        <v>223</v>
      </c>
      <c r="J30" t="s">
        <v>272</v>
      </c>
      <c r="K30">
        <v>2</v>
      </c>
      <c r="L30">
        <v>19757.187879333302</v>
      </c>
      <c r="M30">
        <v>1717.6668897606</v>
      </c>
      <c r="N30">
        <v>29</v>
      </c>
      <c r="O30">
        <v>0.35</v>
      </c>
      <c r="P30">
        <f t="shared" si="1"/>
        <v>36750.721501736058</v>
      </c>
      <c r="R30" t="b">
        <f t="shared" si="0"/>
        <v>1</v>
      </c>
      <c r="S30" t="s">
        <v>273</v>
      </c>
      <c r="T30">
        <v>36750.721501736058</v>
      </c>
      <c r="W30" t="s">
        <v>270</v>
      </c>
      <c r="X30" t="s">
        <v>274</v>
      </c>
      <c r="Y30">
        <v>2</v>
      </c>
      <c r="Z30">
        <v>4</v>
      </c>
      <c r="AA30" s="3">
        <v>45692</v>
      </c>
      <c r="AB30">
        <v>2</v>
      </c>
      <c r="AC30" t="s">
        <v>223</v>
      </c>
      <c r="AD30" t="s">
        <v>223</v>
      </c>
      <c r="AE30" t="s">
        <v>272</v>
      </c>
      <c r="AF30">
        <v>2</v>
      </c>
    </row>
    <row r="31" spans="1:32">
      <c r="A31" t="s">
        <v>276</v>
      </c>
      <c r="B31" t="s">
        <v>270</v>
      </c>
      <c r="C31" t="s">
        <v>277</v>
      </c>
      <c r="D31">
        <v>4</v>
      </c>
      <c r="E31">
        <v>6</v>
      </c>
      <c r="F31" t="s">
        <v>278</v>
      </c>
      <c r="G31">
        <v>2</v>
      </c>
      <c r="H31" t="s">
        <v>223</v>
      </c>
      <c r="I31" t="s">
        <v>223</v>
      </c>
      <c r="J31" t="s">
        <v>272</v>
      </c>
      <c r="K31">
        <v>3</v>
      </c>
      <c r="L31">
        <v>53960.640229999997</v>
      </c>
      <c r="M31">
        <v>1968.27695052645</v>
      </c>
      <c r="N31">
        <v>30</v>
      </c>
      <c r="O31">
        <v>0.32</v>
      </c>
      <c r="P31">
        <f t="shared" si="1"/>
        <v>109783.2035929362</v>
      </c>
      <c r="R31" t="b">
        <f t="shared" si="0"/>
        <v>1</v>
      </c>
      <c r="S31" t="s">
        <v>276</v>
      </c>
      <c r="T31">
        <v>109783.2035929362</v>
      </c>
      <c r="W31" t="s">
        <v>270</v>
      </c>
      <c r="X31" t="s">
        <v>277</v>
      </c>
      <c r="Y31">
        <v>4</v>
      </c>
      <c r="Z31">
        <v>6</v>
      </c>
      <c r="AA31" s="3">
        <v>45753</v>
      </c>
      <c r="AB31">
        <v>2</v>
      </c>
      <c r="AC31" t="s">
        <v>223</v>
      </c>
      <c r="AD31" t="s">
        <v>223</v>
      </c>
      <c r="AE31" t="s">
        <v>272</v>
      </c>
      <c r="AF31">
        <v>3</v>
      </c>
    </row>
    <row r="32" spans="1:32">
      <c r="A32" t="s">
        <v>279</v>
      </c>
      <c r="B32" t="s">
        <v>270</v>
      </c>
      <c r="C32" t="s">
        <v>280</v>
      </c>
      <c r="D32">
        <v>6</v>
      </c>
      <c r="E32">
        <v>8</v>
      </c>
      <c r="F32" t="s">
        <v>281</v>
      </c>
      <c r="G32">
        <v>2</v>
      </c>
      <c r="H32" t="s">
        <v>223</v>
      </c>
      <c r="I32" t="s">
        <v>223</v>
      </c>
      <c r="J32" t="s">
        <v>272</v>
      </c>
      <c r="K32">
        <v>4</v>
      </c>
      <c r="L32">
        <v>66868.382289999994</v>
      </c>
      <c r="M32">
        <v>6512.7113802471204</v>
      </c>
      <c r="N32">
        <v>31</v>
      </c>
      <c r="O32">
        <v>0.315</v>
      </c>
      <c r="P32">
        <f t="shared" si="1"/>
        <v>138203.50175677909</v>
      </c>
      <c r="R32" t="b">
        <f t="shared" si="0"/>
        <v>1</v>
      </c>
      <c r="S32" t="s">
        <v>279</v>
      </c>
      <c r="T32">
        <v>138203.50175677909</v>
      </c>
      <c r="W32" t="s">
        <v>270</v>
      </c>
      <c r="X32" t="s">
        <v>280</v>
      </c>
      <c r="Y32">
        <v>6</v>
      </c>
      <c r="Z32">
        <v>8</v>
      </c>
      <c r="AA32" s="3">
        <v>45816</v>
      </c>
      <c r="AB32">
        <v>2</v>
      </c>
      <c r="AC32" t="s">
        <v>223</v>
      </c>
      <c r="AD32" t="s">
        <v>223</v>
      </c>
      <c r="AE32" t="s">
        <v>272</v>
      </c>
      <c r="AF32">
        <v>4</v>
      </c>
    </row>
    <row r="33" spans="1:32">
      <c r="A33" t="s">
        <v>282</v>
      </c>
      <c r="B33" t="s">
        <v>270</v>
      </c>
      <c r="C33" t="s">
        <v>283</v>
      </c>
      <c r="D33">
        <v>8</v>
      </c>
      <c r="E33">
        <v>10</v>
      </c>
      <c r="F33" t="s">
        <v>284</v>
      </c>
      <c r="G33">
        <v>2</v>
      </c>
      <c r="H33" t="s">
        <v>223</v>
      </c>
      <c r="I33" t="s">
        <v>223</v>
      </c>
      <c r="J33" t="s">
        <v>272</v>
      </c>
      <c r="K33">
        <v>5</v>
      </c>
      <c r="L33">
        <v>42949.897896666698</v>
      </c>
      <c r="M33">
        <v>2330.7327030841102</v>
      </c>
      <c r="N33">
        <v>32</v>
      </c>
      <c r="O33">
        <v>0.32700000000000001</v>
      </c>
      <c r="P33">
        <f t="shared" si="1"/>
        <v>85511.232751709642</v>
      </c>
      <c r="R33" t="b">
        <f t="shared" si="0"/>
        <v>1</v>
      </c>
      <c r="S33" t="s">
        <v>282</v>
      </c>
      <c r="T33">
        <v>85511.232751709642</v>
      </c>
      <c r="W33" t="s">
        <v>270</v>
      </c>
      <c r="X33" t="s">
        <v>283</v>
      </c>
      <c r="Y33">
        <v>8</v>
      </c>
      <c r="Z33">
        <v>10</v>
      </c>
      <c r="AA33" s="3">
        <v>45879</v>
      </c>
      <c r="AB33">
        <v>2</v>
      </c>
      <c r="AC33" t="s">
        <v>223</v>
      </c>
      <c r="AD33" t="s">
        <v>223</v>
      </c>
      <c r="AE33" t="s">
        <v>272</v>
      </c>
      <c r="AF33">
        <v>5</v>
      </c>
    </row>
    <row r="34" spans="1:32">
      <c r="A34" t="s">
        <v>285</v>
      </c>
      <c r="B34" t="s">
        <v>270</v>
      </c>
      <c r="C34" t="s">
        <v>286</v>
      </c>
      <c r="D34">
        <v>10</v>
      </c>
      <c r="E34">
        <v>14</v>
      </c>
      <c r="F34" t="s">
        <v>233</v>
      </c>
      <c r="G34">
        <v>4</v>
      </c>
      <c r="H34" t="s">
        <v>223</v>
      </c>
      <c r="I34" t="s">
        <v>223</v>
      </c>
      <c r="J34" t="s">
        <v>272</v>
      </c>
      <c r="K34">
        <v>6</v>
      </c>
      <c r="L34">
        <v>63819.437026666703</v>
      </c>
      <c r="M34">
        <v>4067.2066226567899</v>
      </c>
      <c r="N34">
        <v>33</v>
      </c>
      <c r="O34">
        <v>0.30399999999999999</v>
      </c>
      <c r="P34">
        <f t="shared" si="1"/>
        <v>136674.71265647851</v>
      </c>
      <c r="R34" t="b">
        <f t="shared" si="0"/>
        <v>1</v>
      </c>
      <c r="S34" t="s">
        <v>285</v>
      </c>
      <c r="T34">
        <v>136674.71265647851</v>
      </c>
      <c r="W34" t="s">
        <v>270</v>
      </c>
      <c r="X34" t="s">
        <v>286</v>
      </c>
      <c r="Y34">
        <v>10</v>
      </c>
      <c r="Z34">
        <v>14</v>
      </c>
      <c r="AA34" s="3">
        <v>45944</v>
      </c>
      <c r="AB34">
        <v>4</v>
      </c>
      <c r="AC34" t="s">
        <v>223</v>
      </c>
      <c r="AD34" t="s">
        <v>223</v>
      </c>
      <c r="AE34" t="s">
        <v>272</v>
      </c>
      <c r="AF34">
        <v>6</v>
      </c>
    </row>
    <row r="35" spans="1:32">
      <c r="A35" t="s">
        <v>287</v>
      </c>
      <c r="B35" t="s">
        <v>270</v>
      </c>
      <c r="C35" t="s">
        <v>288</v>
      </c>
      <c r="D35">
        <v>14</v>
      </c>
      <c r="E35">
        <v>18</v>
      </c>
      <c r="F35" t="s">
        <v>236</v>
      </c>
      <c r="G35">
        <v>4</v>
      </c>
      <c r="H35" t="s">
        <v>223</v>
      </c>
      <c r="I35" t="s">
        <v>223</v>
      </c>
      <c r="J35" t="s">
        <v>272</v>
      </c>
      <c r="K35">
        <v>7</v>
      </c>
      <c r="L35">
        <v>42342.494643999999</v>
      </c>
      <c r="M35">
        <v>2937.2262904444101</v>
      </c>
      <c r="N35">
        <v>34</v>
      </c>
      <c r="O35">
        <v>0.308</v>
      </c>
      <c r="P35">
        <f t="shared" si="1"/>
        <v>89502.364557968074</v>
      </c>
      <c r="R35" t="b">
        <f t="shared" si="0"/>
        <v>1</v>
      </c>
      <c r="S35" t="s">
        <v>287</v>
      </c>
      <c r="T35">
        <v>89502.364557968074</v>
      </c>
      <c r="W35" t="s">
        <v>270</v>
      </c>
      <c r="X35" t="s">
        <v>288</v>
      </c>
      <c r="Y35">
        <v>14</v>
      </c>
      <c r="Z35">
        <v>18</v>
      </c>
      <c r="AA35" t="s">
        <v>236</v>
      </c>
      <c r="AB35">
        <v>4</v>
      </c>
      <c r="AC35" t="s">
        <v>223</v>
      </c>
      <c r="AD35" t="s">
        <v>223</v>
      </c>
      <c r="AE35" t="s">
        <v>272</v>
      </c>
      <c r="AF35">
        <v>7</v>
      </c>
    </row>
    <row r="36" spans="1:32">
      <c r="A36" t="s">
        <v>289</v>
      </c>
      <c r="B36" t="s">
        <v>270</v>
      </c>
      <c r="C36" t="s">
        <v>290</v>
      </c>
      <c r="D36">
        <v>18</v>
      </c>
      <c r="E36">
        <v>22</v>
      </c>
      <c r="F36" t="s">
        <v>291</v>
      </c>
      <c r="G36">
        <v>4</v>
      </c>
      <c r="H36" t="s">
        <v>223</v>
      </c>
      <c r="I36" t="s">
        <v>223</v>
      </c>
      <c r="J36" t="s">
        <v>272</v>
      </c>
      <c r="K36">
        <v>8</v>
      </c>
      <c r="L36">
        <v>118119.9548185</v>
      </c>
      <c r="M36">
        <v>18940.0584253405</v>
      </c>
      <c r="N36">
        <v>35</v>
      </c>
      <c r="O36">
        <v>0.35</v>
      </c>
      <c r="P36">
        <f t="shared" si="1"/>
        <v>219717.17786179317</v>
      </c>
      <c r="R36" t="b">
        <f t="shared" si="0"/>
        <v>1</v>
      </c>
      <c r="S36" t="s">
        <v>289</v>
      </c>
      <c r="T36">
        <v>219717.17786179317</v>
      </c>
      <c r="W36" t="s">
        <v>270</v>
      </c>
      <c r="X36" t="s">
        <v>290</v>
      </c>
      <c r="Y36">
        <v>18</v>
      </c>
      <c r="Z36">
        <v>22</v>
      </c>
      <c r="AA36" t="s">
        <v>291</v>
      </c>
      <c r="AB36">
        <v>4</v>
      </c>
      <c r="AC36" t="s">
        <v>223</v>
      </c>
      <c r="AD36" t="s">
        <v>223</v>
      </c>
      <c r="AE36" t="s">
        <v>272</v>
      </c>
      <c r="AF36">
        <v>8</v>
      </c>
    </row>
    <row r="37" spans="1:32">
      <c r="A37" t="s">
        <v>292</v>
      </c>
      <c r="B37" t="s">
        <v>270</v>
      </c>
      <c r="C37" t="s">
        <v>293</v>
      </c>
      <c r="D37">
        <v>22</v>
      </c>
      <c r="E37">
        <v>26</v>
      </c>
      <c r="F37" t="s">
        <v>294</v>
      </c>
      <c r="G37">
        <v>4</v>
      </c>
      <c r="H37" t="s">
        <v>223</v>
      </c>
      <c r="I37" t="s">
        <v>223</v>
      </c>
      <c r="J37" t="s">
        <v>272</v>
      </c>
      <c r="K37">
        <v>9</v>
      </c>
      <c r="L37">
        <v>54156.3664133333</v>
      </c>
      <c r="M37">
        <v>2791.0950221122798</v>
      </c>
      <c r="N37">
        <v>36</v>
      </c>
      <c r="O37">
        <v>0.308</v>
      </c>
      <c r="P37">
        <f t="shared" si="1"/>
        <v>114474.19172190651</v>
      </c>
      <c r="R37" t="b">
        <f t="shared" si="0"/>
        <v>1</v>
      </c>
      <c r="S37" t="s">
        <v>292</v>
      </c>
      <c r="T37">
        <v>114474.19172190651</v>
      </c>
      <c r="W37" t="s">
        <v>270</v>
      </c>
      <c r="X37" t="s">
        <v>293</v>
      </c>
      <c r="Y37">
        <v>22</v>
      </c>
      <c r="Z37">
        <v>26</v>
      </c>
      <c r="AA37" t="s">
        <v>294</v>
      </c>
      <c r="AB37">
        <v>4</v>
      </c>
      <c r="AC37" t="s">
        <v>223</v>
      </c>
      <c r="AD37" t="s">
        <v>223</v>
      </c>
      <c r="AE37" t="s">
        <v>272</v>
      </c>
      <c r="AF37">
        <v>9</v>
      </c>
    </row>
    <row r="38" spans="1:32">
      <c r="A38" t="s">
        <v>295</v>
      </c>
      <c r="B38" t="s">
        <v>296</v>
      </c>
      <c r="C38" t="s">
        <v>271</v>
      </c>
      <c r="D38">
        <v>0</v>
      </c>
      <c r="E38">
        <v>2</v>
      </c>
      <c r="F38" t="s">
        <v>222</v>
      </c>
      <c r="G38">
        <v>2</v>
      </c>
      <c r="H38" t="s">
        <v>223</v>
      </c>
      <c r="I38" t="s">
        <v>223</v>
      </c>
      <c r="J38" t="s">
        <v>272</v>
      </c>
      <c r="K38">
        <v>1</v>
      </c>
      <c r="L38">
        <v>250.242953621667</v>
      </c>
      <c r="M38">
        <v>20.0211958304603</v>
      </c>
      <c r="N38">
        <v>37</v>
      </c>
      <c r="O38" t="s">
        <v>361</v>
      </c>
      <c r="P38">
        <f>((L38*30)/(2*48*(1/0.96)+30/48*(1/0.96)))/(0.258+0.37+0.311)</f>
        <v>79.432685558295432</v>
      </c>
      <c r="R38" t="b">
        <f t="shared" si="0"/>
        <v>1</v>
      </c>
      <c r="S38" t="s">
        <v>295</v>
      </c>
      <c r="T38">
        <v>79.432685558295432</v>
      </c>
      <c r="W38" t="s">
        <v>296</v>
      </c>
      <c r="X38" t="s">
        <v>271</v>
      </c>
      <c r="Y38">
        <v>0</v>
      </c>
      <c r="Z38">
        <v>2</v>
      </c>
      <c r="AA38" t="s">
        <v>222</v>
      </c>
      <c r="AB38">
        <v>2</v>
      </c>
      <c r="AC38" t="s">
        <v>223</v>
      </c>
      <c r="AD38" t="s">
        <v>223</v>
      </c>
      <c r="AE38" t="s">
        <v>272</v>
      </c>
      <c r="AF38">
        <v>1</v>
      </c>
    </row>
    <row r="39" spans="1:32">
      <c r="A39" t="s">
        <v>297</v>
      </c>
      <c r="B39" t="s">
        <v>296</v>
      </c>
      <c r="C39" t="s">
        <v>274</v>
      </c>
      <c r="D39">
        <v>2</v>
      </c>
      <c r="E39">
        <v>4</v>
      </c>
      <c r="F39" t="s">
        <v>275</v>
      </c>
      <c r="G39">
        <v>2</v>
      </c>
      <c r="H39" t="s">
        <v>223</v>
      </c>
      <c r="I39" t="s">
        <v>223</v>
      </c>
      <c r="J39" t="s">
        <v>272</v>
      </c>
      <c r="K39">
        <v>2</v>
      </c>
      <c r="L39">
        <v>36047.881936666701</v>
      </c>
      <c r="M39">
        <v>2235.9619352551599</v>
      </c>
      <c r="N39">
        <v>38</v>
      </c>
      <c r="O39">
        <v>0.29199999999999998</v>
      </c>
      <c r="P39">
        <f t="shared" si="1"/>
        <v>80372.168273461357</v>
      </c>
      <c r="R39" t="b">
        <f t="shared" si="0"/>
        <v>1</v>
      </c>
      <c r="S39" t="s">
        <v>297</v>
      </c>
      <c r="T39">
        <v>80372.168273461357</v>
      </c>
      <c r="W39" t="s">
        <v>296</v>
      </c>
      <c r="X39" t="s">
        <v>274</v>
      </c>
      <c r="Y39">
        <v>2</v>
      </c>
      <c r="Z39">
        <v>4</v>
      </c>
      <c r="AA39" s="3">
        <v>45692</v>
      </c>
      <c r="AB39">
        <v>2</v>
      </c>
      <c r="AC39" t="s">
        <v>223</v>
      </c>
      <c r="AD39" t="s">
        <v>223</v>
      </c>
      <c r="AE39" t="s">
        <v>272</v>
      </c>
      <c r="AF39">
        <v>2</v>
      </c>
    </row>
    <row r="40" spans="1:32">
      <c r="A40" t="s">
        <v>298</v>
      </c>
      <c r="B40" t="s">
        <v>296</v>
      </c>
      <c r="C40" t="s">
        <v>277</v>
      </c>
      <c r="D40">
        <v>4</v>
      </c>
      <c r="E40">
        <v>6</v>
      </c>
      <c r="F40" t="s">
        <v>278</v>
      </c>
      <c r="G40">
        <v>2</v>
      </c>
      <c r="H40" t="s">
        <v>223</v>
      </c>
      <c r="I40" t="s">
        <v>223</v>
      </c>
      <c r="J40" t="s">
        <v>272</v>
      </c>
      <c r="K40">
        <v>3</v>
      </c>
      <c r="L40">
        <v>56847.980806666703</v>
      </c>
      <c r="M40">
        <v>1940.7494243051799</v>
      </c>
      <c r="N40">
        <v>39</v>
      </c>
      <c r="O40">
        <v>0.36499999999999999</v>
      </c>
      <c r="P40">
        <f t="shared" si="1"/>
        <v>101398.36759179992</v>
      </c>
      <c r="R40" t="b">
        <f t="shared" si="0"/>
        <v>1</v>
      </c>
      <c r="S40" t="s">
        <v>298</v>
      </c>
      <c r="T40">
        <v>101398.36759179992</v>
      </c>
      <c r="W40" t="s">
        <v>296</v>
      </c>
      <c r="X40" t="s">
        <v>277</v>
      </c>
      <c r="Y40">
        <v>4</v>
      </c>
      <c r="Z40">
        <v>6</v>
      </c>
      <c r="AA40" s="3">
        <v>45753</v>
      </c>
      <c r="AB40">
        <v>2</v>
      </c>
      <c r="AC40" t="s">
        <v>223</v>
      </c>
      <c r="AD40" t="s">
        <v>223</v>
      </c>
      <c r="AE40" t="s">
        <v>272</v>
      </c>
      <c r="AF40">
        <v>3</v>
      </c>
    </row>
    <row r="41" spans="1:32">
      <c r="A41" t="s">
        <v>299</v>
      </c>
      <c r="B41" t="s">
        <v>296</v>
      </c>
      <c r="C41" t="s">
        <v>280</v>
      </c>
      <c r="D41">
        <v>6</v>
      </c>
      <c r="E41">
        <v>8</v>
      </c>
      <c r="F41" t="s">
        <v>281</v>
      </c>
      <c r="G41">
        <v>2</v>
      </c>
      <c r="H41" t="s">
        <v>223</v>
      </c>
      <c r="I41" t="s">
        <v>223</v>
      </c>
      <c r="J41" t="s">
        <v>272</v>
      </c>
      <c r="K41">
        <v>4</v>
      </c>
      <c r="L41">
        <v>50953.944560000004</v>
      </c>
      <c r="M41">
        <v>5440.3670237538399</v>
      </c>
      <c r="N41">
        <v>40</v>
      </c>
      <c r="O41">
        <v>0.30099999999999999</v>
      </c>
      <c r="P41">
        <f t="shared" si="1"/>
        <v>110209.77072951275</v>
      </c>
      <c r="R41" t="b">
        <f t="shared" si="0"/>
        <v>1</v>
      </c>
      <c r="S41" t="s">
        <v>299</v>
      </c>
      <c r="T41">
        <v>110209.77072951275</v>
      </c>
      <c r="W41" t="s">
        <v>296</v>
      </c>
      <c r="X41" t="s">
        <v>280</v>
      </c>
      <c r="Y41">
        <v>6</v>
      </c>
      <c r="Z41">
        <v>8</v>
      </c>
      <c r="AA41" s="3">
        <v>45816</v>
      </c>
      <c r="AB41">
        <v>2</v>
      </c>
      <c r="AC41" t="s">
        <v>223</v>
      </c>
      <c r="AD41" t="s">
        <v>223</v>
      </c>
      <c r="AE41" t="s">
        <v>272</v>
      </c>
      <c r="AF41">
        <v>4</v>
      </c>
    </row>
    <row r="42" spans="1:32">
      <c r="A42" t="s">
        <v>300</v>
      </c>
      <c r="B42" t="s">
        <v>296</v>
      </c>
      <c r="C42" t="s">
        <v>283</v>
      </c>
      <c r="D42">
        <v>8</v>
      </c>
      <c r="E42">
        <v>10</v>
      </c>
      <c r="F42" t="s">
        <v>284</v>
      </c>
      <c r="G42">
        <v>2</v>
      </c>
      <c r="H42" t="s">
        <v>223</v>
      </c>
      <c r="I42" t="s">
        <v>223</v>
      </c>
      <c r="J42" t="s">
        <v>272</v>
      </c>
      <c r="K42">
        <v>5</v>
      </c>
      <c r="L42">
        <v>51591.870513333299</v>
      </c>
      <c r="M42">
        <v>835.48243090960705</v>
      </c>
      <c r="N42">
        <v>41</v>
      </c>
      <c r="O42">
        <v>0.33600000000000002</v>
      </c>
      <c r="P42">
        <f t="shared" si="1"/>
        <v>99965.646920986226</v>
      </c>
      <c r="R42" t="b">
        <f t="shared" si="0"/>
        <v>1</v>
      </c>
      <c r="S42" t="s">
        <v>300</v>
      </c>
      <c r="T42">
        <v>99965.646920986226</v>
      </c>
      <c r="W42" t="s">
        <v>296</v>
      </c>
      <c r="X42" t="s">
        <v>283</v>
      </c>
      <c r="Y42">
        <v>8</v>
      </c>
      <c r="Z42">
        <v>10</v>
      </c>
      <c r="AA42" s="3">
        <v>45879</v>
      </c>
      <c r="AB42">
        <v>2</v>
      </c>
      <c r="AC42" t="s">
        <v>223</v>
      </c>
      <c r="AD42" t="s">
        <v>223</v>
      </c>
      <c r="AE42" t="s">
        <v>272</v>
      </c>
      <c r="AF42">
        <v>5</v>
      </c>
    </row>
    <row r="43" spans="1:32">
      <c r="A43" t="s">
        <v>301</v>
      </c>
      <c r="B43" t="s">
        <v>296</v>
      </c>
      <c r="C43" t="s">
        <v>286</v>
      </c>
      <c r="D43">
        <v>10</v>
      </c>
      <c r="E43">
        <v>14</v>
      </c>
      <c r="F43" t="s">
        <v>233</v>
      </c>
      <c r="G43">
        <v>4</v>
      </c>
      <c r="H43" t="s">
        <v>223</v>
      </c>
      <c r="I43" t="s">
        <v>223</v>
      </c>
      <c r="J43" t="s">
        <v>272</v>
      </c>
      <c r="K43">
        <v>6</v>
      </c>
      <c r="L43">
        <v>87034.710063333303</v>
      </c>
      <c r="M43">
        <v>12195.025086015899</v>
      </c>
      <c r="N43">
        <v>42</v>
      </c>
      <c r="O43">
        <v>0.32800000000000001</v>
      </c>
      <c r="P43">
        <f t="shared" si="1"/>
        <v>172753.72773622748</v>
      </c>
      <c r="R43" t="b">
        <f t="shared" si="0"/>
        <v>1</v>
      </c>
      <c r="S43" t="s">
        <v>301</v>
      </c>
      <c r="T43">
        <v>172753.72773622748</v>
      </c>
      <c r="W43" t="s">
        <v>296</v>
      </c>
      <c r="X43" t="s">
        <v>286</v>
      </c>
      <c r="Y43">
        <v>10</v>
      </c>
      <c r="Z43">
        <v>14</v>
      </c>
      <c r="AA43" s="3">
        <v>45944</v>
      </c>
      <c r="AB43">
        <v>4</v>
      </c>
      <c r="AC43" t="s">
        <v>223</v>
      </c>
      <c r="AD43" t="s">
        <v>223</v>
      </c>
      <c r="AE43" t="s">
        <v>272</v>
      </c>
      <c r="AF43">
        <v>6</v>
      </c>
    </row>
    <row r="44" spans="1:32">
      <c r="A44" t="s">
        <v>302</v>
      </c>
      <c r="B44" t="s">
        <v>296</v>
      </c>
      <c r="C44" t="s">
        <v>288</v>
      </c>
      <c r="D44">
        <v>14</v>
      </c>
      <c r="E44">
        <v>18</v>
      </c>
      <c r="F44" t="s">
        <v>236</v>
      </c>
      <c r="G44">
        <v>4</v>
      </c>
      <c r="H44" t="s">
        <v>223</v>
      </c>
      <c r="I44" t="s">
        <v>223</v>
      </c>
      <c r="J44" t="s">
        <v>272</v>
      </c>
      <c r="K44">
        <v>7</v>
      </c>
      <c r="L44">
        <v>179643.169666667</v>
      </c>
      <c r="M44">
        <v>16999.4479885523</v>
      </c>
      <c r="N44">
        <v>43</v>
      </c>
      <c r="O44">
        <v>0.38700000000000001</v>
      </c>
      <c r="P44">
        <f t="shared" si="1"/>
        <v>302209.78962550301</v>
      </c>
      <c r="R44" t="b">
        <f t="shared" si="0"/>
        <v>1</v>
      </c>
      <c r="S44" t="s">
        <v>302</v>
      </c>
      <c r="T44">
        <v>302209.78962550301</v>
      </c>
      <c r="W44" t="s">
        <v>296</v>
      </c>
      <c r="X44" t="s">
        <v>288</v>
      </c>
      <c r="Y44">
        <v>14</v>
      </c>
      <c r="Z44">
        <v>18</v>
      </c>
      <c r="AA44" t="s">
        <v>236</v>
      </c>
      <c r="AB44">
        <v>4</v>
      </c>
      <c r="AC44" t="s">
        <v>223</v>
      </c>
      <c r="AD44" t="s">
        <v>223</v>
      </c>
      <c r="AE44" t="s">
        <v>272</v>
      </c>
      <c r="AF44">
        <v>7</v>
      </c>
    </row>
    <row r="45" spans="1:32">
      <c r="A45" t="s">
        <v>303</v>
      </c>
      <c r="B45" t="s">
        <v>296</v>
      </c>
      <c r="C45" t="s">
        <v>290</v>
      </c>
      <c r="D45">
        <v>18</v>
      </c>
      <c r="E45">
        <v>22</v>
      </c>
      <c r="F45" t="s">
        <v>291</v>
      </c>
      <c r="G45">
        <v>4</v>
      </c>
      <c r="H45" t="s">
        <v>223</v>
      </c>
      <c r="I45" t="s">
        <v>223</v>
      </c>
      <c r="J45" t="s">
        <v>272</v>
      </c>
      <c r="K45">
        <v>8</v>
      </c>
      <c r="L45">
        <v>136713.66374333299</v>
      </c>
      <c r="M45">
        <v>11105.3648226557</v>
      </c>
      <c r="N45">
        <v>44</v>
      </c>
      <c r="O45">
        <v>0.32300000000000001</v>
      </c>
      <c r="P45">
        <f t="shared" si="1"/>
        <v>275561.2739924636</v>
      </c>
      <c r="R45" t="b">
        <f t="shared" si="0"/>
        <v>1</v>
      </c>
      <c r="S45" t="s">
        <v>303</v>
      </c>
      <c r="T45">
        <v>275561.2739924636</v>
      </c>
      <c r="W45" t="s">
        <v>296</v>
      </c>
      <c r="X45" t="s">
        <v>290</v>
      </c>
      <c r="Y45">
        <v>18</v>
      </c>
      <c r="Z45">
        <v>22</v>
      </c>
      <c r="AA45" t="s">
        <v>291</v>
      </c>
      <c r="AB45">
        <v>4</v>
      </c>
      <c r="AC45" t="s">
        <v>223</v>
      </c>
      <c r="AD45" t="s">
        <v>223</v>
      </c>
      <c r="AE45" t="s">
        <v>272</v>
      </c>
      <c r="AF45">
        <v>8</v>
      </c>
    </row>
    <row r="46" spans="1:32">
      <c r="A46" t="s">
        <v>304</v>
      </c>
      <c r="B46" t="s">
        <v>296</v>
      </c>
      <c r="C46" t="s">
        <v>293</v>
      </c>
      <c r="D46">
        <v>22</v>
      </c>
      <c r="E46">
        <v>26</v>
      </c>
      <c r="F46" t="s">
        <v>294</v>
      </c>
      <c r="G46">
        <v>4</v>
      </c>
      <c r="H46" t="s">
        <v>223</v>
      </c>
      <c r="I46" t="s">
        <v>223</v>
      </c>
      <c r="J46" t="s">
        <v>272</v>
      </c>
      <c r="K46">
        <v>9</v>
      </c>
      <c r="L46">
        <v>83129.554229999994</v>
      </c>
      <c r="M46">
        <v>987.87506735868703</v>
      </c>
      <c r="N46">
        <v>45</v>
      </c>
      <c r="O46">
        <v>0.34599999999999997</v>
      </c>
      <c r="P46">
        <f t="shared" si="1"/>
        <v>156418.50732704121</v>
      </c>
      <c r="R46" t="b">
        <f t="shared" si="0"/>
        <v>1</v>
      </c>
      <c r="S46" t="s">
        <v>304</v>
      </c>
      <c r="T46">
        <v>156418.50732704121</v>
      </c>
      <c r="W46" t="s">
        <v>296</v>
      </c>
      <c r="X46" t="s">
        <v>293</v>
      </c>
      <c r="Y46">
        <v>22</v>
      </c>
      <c r="Z46">
        <v>26</v>
      </c>
      <c r="AA46" t="s">
        <v>294</v>
      </c>
      <c r="AB46">
        <v>4</v>
      </c>
      <c r="AC46" t="s">
        <v>223</v>
      </c>
      <c r="AD46" t="s">
        <v>223</v>
      </c>
      <c r="AE46" t="s">
        <v>272</v>
      </c>
      <c r="AF46">
        <v>9</v>
      </c>
    </row>
    <row r="47" spans="1:32">
      <c r="A47" t="s">
        <v>305</v>
      </c>
      <c r="B47" t="s">
        <v>306</v>
      </c>
      <c r="C47" t="s">
        <v>271</v>
      </c>
      <c r="D47">
        <v>0</v>
      </c>
      <c r="E47">
        <v>2</v>
      </c>
      <c r="F47" t="s">
        <v>222</v>
      </c>
      <c r="G47">
        <v>2</v>
      </c>
      <c r="H47" t="s">
        <v>223</v>
      </c>
      <c r="I47" t="s">
        <v>223</v>
      </c>
      <c r="J47" t="s">
        <v>272</v>
      </c>
      <c r="K47">
        <v>1</v>
      </c>
      <c r="L47">
        <v>1374.4815616666699</v>
      </c>
      <c r="M47">
        <v>24.904544523088699</v>
      </c>
      <c r="N47">
        <v>46</v>
      </c>
      <c r="O47">
        <v>0.32800000000000001</v>
      </c>
      <c r="P47">
        <f t="shared" si="1"/>
        <v>2728.1852643599741</v>
      </c>
      <c r="R47" t="b">
        <f t="shared" si="0"/>
        <v>1</v>
      </c>
      <c r="S47" t="s">
        <v>305</v>
      </c>
      <c r="T47">
        <v>2728.1852643599741</v>
      </c>
      <c r="W47" t="s">
        <v>306</v>
      </c>
      <c r="X47" t="s">
        <v>271</v>
      </c>
      <c r="Y47">
        <v>0</v>
      </c>
      <c r="Z47">
        <v>2</v>
      </c>
      <c r="AA47" t="s">
        <v>222</v>
      </c>
      <c r="AB47">
        <v>2</v>
      </c>
      <c r="AC47" t="s">
        <v>223</v>
      </c>
      <c r="AD47" t="s">
        <v>223</v>
      </c>
      <c r="AE47" t="s">
        <v>272</v>
      </c>
      <c r="AF47">
        <v>1</v>
      </c>
    </row>
    <row r="48" spans="1:32">
      <c r="A48" t="s">
        <v>307</v>
      </c>
      <c r="B48" t="s">
        <v>306</v>
      </c>
      <c r="C48" t="s">
        <v>274</v>
      </c>
      <c r="D48">
        <v>2</v>
      </c>
      <c r="E48">
        <v>4</v>
      </c>
      <c r="F48" t="s">
        <v>275</v>
      </c>
      <c r="G48">
        <v>2</v>
      </c>
      <c r="H48" t="s">
        <v>223</v>
      </c>
      <c r="I48" t="s">
        <v>223</v>
      </c>
      <c r="J48" t="s">
        <v>272</v>
      </c>
      <c r="K48">
        <v>2</v>
      </c>
      <c r="L48">
        <v>32513.121917199998</v>
      </c>
      <c r="M48">
        <v>3121.5043428409599</v>
      </c>
      <c r="N48">
        <v>47</v>
      </c>
      <c r="O48">
        <v>0.376</v>
      </c>
      <c r="P48">
        <f t="shared" si="1"/>
        <v>56296.268833804301</v>
      </c>
      <c r="R48" t="b">
        <f t="shared" si="0"/>
        <v>1</v>
      </c>
      <c r="S48" t="s">
        <v>307</v>
      </c>
      <c r="T48">
        <v>56296.268833804301</v>
      </c>
      <c r="W48" t="s">
        <v>306</v>
      </c>
      <c r="X48" t="s">
        <v>274</v>
      </c>
      <c r="Y48">
        <v>2</v>
      </c>
      <c r="Z48">
        <v>4</v>
      </c>
      <c r="AA48" s="3">
        <v>45692</v>
      </c>
      <c r="AB48">
        <v>2</v>
      </c>
      <c r="AC48" t="s">
        <v>223</v>
      </c>
      <c r="AD48" t="s">
        <v>223</v>
      </c>
      <c r="AE48" t="s">
        <v>272</v>
      </c>
      <c r="AF48">
        <v>2</v>
      </c>
    </row>
    <row r="49" spans="1:32">
      <c r="A49" t="s">
        <v>308</v>
      </c>
      <c r="B49" t="s">
        <v>306</v>
      </c>
      <c r="C49" t="s">
        <v>277</v>
      </c>
      <c r="D49">
        <v>4</v>
      </c>
      <c r="E49">
        <v>6</v>
      </c>
      <c r="F49" t="s">
        <v>278</v>
      </c>
      <c r="G49">
        <v>2</v>
      </c>
      <c r="H49" t="s">
        <v>223</v>
      </c>
      <c r="I49" t="s">
        <v>223</v>
      </c>
      <c r="J49" t="s">
        <v>272</v>
      </c>
      <c r="K49">
        <v>3</v>
      </c>
      <c r="L49">
        <v>37322.219903333302</v>
      </c>
      <c r="M49">
        <v>1490.59300359593</v>
      </c>
      <c r="N49">
        <v>48</v>
      </c>
      <c r="O49">
        <v>0.36899999999999999</v>
      </c>
      <c r="P49">
        <f t="shared" si="1"/>
        <v>65849.106367387401</v>
      </c>
      <c r="R49" t="b">
        <f t="shared" si="0"/>
        <v>1</v>
      </c>
      <c r="S49" t="s">
        <v>308</v>
      </c>
      <c r="T49">
        <v>65849.106367387401</v>
      </c>
      <c r="W49" t="s">
        <v>306</v>
      </c>
      <c r="X49" t="s">
        <v>277</v>
      </c>
      <c r="Y49">
        <v>4</v>
      </c>
      <c r="Z49">
        <v>6</v>
      </c>
      <c r="AA49" s="3">
        <v>45753</v>
      </c>
      <c r="AB49">
        <v>2</v>
      </c>
      <c r="AC49" t="s">
        <v>223</v>
      </c>
      <c r="AD49" t="s">
        <v>223</v>
      </c>
      <c r="AE49" t="s">
        <v>272</v>
      </c>
      <c r="AF49">
        <v>3</v>
      </c>
    </row>
    <row r="50" spans="1:32">
      <c r="A50" t="s">
        <v>309</v>
      </c>
      <c r="B50" t="s">
        <v>306</v>
      </c>
      <c r="C50" t="s">
        <v>280</v>
      </c>
      <c r="D50">
        <v>6</v>
      </c>
      <c r="E50">
        <v>8</v>
      </c>
      <c r="F50" t="s">
        <v>281</v>
      </c>
      <c r="G50">
        <v>2</v>
      </c>
      <c r="H50" t="s">
        <v>223</v>
      </c>
      <c r="I50" t="s">
        <v>223</v>
      </c>
      <c r="J50" t="s">
        <v>272</v>
      </c>
      <c r="K50">
        <v>4</v>
      </c>
      <c r="L50">
        <v>41428.339546666699</v>
      </c>
      <c r="M50">
        <v>2004.4000099756199</v>
      </c>
      <c r="N50">
        <v>49</v>
      </c>
      <c r="O50">
        <v>0.32400000000000001</v>
      </c>
      <c r="P50">
        <f t="shared" si="1"/>
        <v>83245.602548439711</v>
      </c>
      <c r="R50" t="b">
        <f t="shared" si="0"/>
        <v>1</v>
      </c>
      <c r="S50" t="s">
        <v>309</v>
      </c>
      <c r="T50">
        <v>83245.602548439711</v>
      </c>
      <c r="W50" t="s">
        <v>306</v>
      </c>
      <c r="X50" t="s">
        <v>280</v>
      </c>
      <c r="Y50">
        <v>6</v>
      </c>
      <c r="Z50">
        <v>8</v>
      </c>
      <c r="AA50" s="3">
        <v>45816</v>
      </c>
      <c r="AB50">
        <v>2</v>
      </c>
      <c r="AC50" t="s">
        <v>223</v>
      </c>
      <c r="AD50" t="s">
        <v>223</v>
      </c>
      <c r="AE50" t="s">
        <v>272</v>
      </c>
      <c r="AF50">
        <v>4</v>
      </c>
    </row>
    <row r="51" spans="1:32">
      <c r="A51" t="s">
        <v>310</v>
      </c>
      <c r="B51" t="s">
        <v>306</v>
      </c>
      <c r="C51" t="s">
        <v>283</v>
      </c>
      <c r="D51">
        <v>8</v>
      </c>
      <c r="E51">
        <v>10</v>
      </c>
      <c r="F51" t="s">
        <v>284</v>
      </c>
      <c r="G51">
        <v>2</v>
      </c>
      <c r="H51" t="s">
        <v>223</v>
      </c>
      <c r="I51" t="s">
        <v>223</v>
      </c>
      <c r="J51" t="s">
        <v>272</v>
      </c>
      <c r="K51">
        <v>5</v>
      </c>
      <c r="L51">
        <v>53261.441808750002</v>
      </c>
      <c r="M51">
        <v>3261.7337008567001</v>
      </c>
      <c r="N51">
        <v>50</v>
      </c>
      <c r="O51">
        <v>0.34</v>
      </c>
      <c r="P51">
        <f t="shared" si="1"/>
        <v>101986.52307128906</v>
      </c>
      <c r="R51" t="b">
        <f t="shared" si="0"/>
        <v>1</v>
      </c>
      <c r="S51" t="s">
        <v>310</v>
      </c>
      <c r="T51">
        <v>101986.52307128906</v>
      </c>
      <c r="W51" t="s">
        <v>306</v>
      </c>
      <c r="X51" t="s">
        <v>283</v>
      </c>
      <c r="Y51">
        <v>8</v>
      </c>
      <c r="Z51">
        <v>10</v>
      </c>
      <c r="AA51" s="3">
        <v>45879</v>
      </c>
      <c r="AB51">
        <v>2</v>
      </c>
      <c r="AC51" t="s">
        <v>223</v>
      </c>
      <c r="AD51" t="s">
        <v>223</v>
      </c>
      <c r="AE51" t="s">
        <v>272</v>
      </c>
      <c r="AF51">
        <v>5</v>
      </c>
    </row>
    <row r="52" spans="1:32">
      <c r="A52" t="s">
        <v>311</v>
      </c>
      <c r="B52" t="s">
        <v>306</v>
      </c>
      <c r="C52" t="s">
        <v>286</v>
      </c>
      <c r="D52">
        <v>10</v>
      </c>
      <c r="E52">
        <v>14</v>
      </c>
      <c r="F52" t="s">
        <v>233</v>
      </c>
      <c r="G52">
        <v>4</v>
      </c>
      <c r="H52" t="s">
        <v>223</v>
      </c>
      <c r="I52" t="s">
        <v>223</v>
      </c>
      <c r="J52" t="s">
        <v>272</v>
      </c>
      <c r="K52">
        <v>6</v>
      </c>
      <c r="L52">
        <v>42465.363873333299</v>
      </c>
      <c r="M52">
        <v>1097.6480885859301</v>
      </c>
      <c r="N52">
        <v>51</v>
      </c>
      <c r="O52">
        <v>0.32700000000000001</v>
      </c>
      <c r="P52">
        <f t="shared" si="1"/>
        <v>84546.548231502646</v>
      </c>
      <c r="R52" t="b">
        <f t="shared" si="0"/>
        <v>1</v>
      </c>
      <c r="S52" t="s">
        <v>311</v>
      </c>
      <c r="T52">
        <v>84546.548231502646</v>
      </c>
      <c r="W52" t="s">
        <v>306</v>
      </c>
      <c r="X52" t="s">
        <v>286</v>
      </c>
      <c r="Y52">
        <v>10</v>
      </c>
      <c r="Z52">
        <v>14</v>
      </c>
      <c r="AA52" s="3">
        <v>45944</v>
      </c>
      <c r="AB52">
        <v>4</v>
      </c>
      <c r="AC52" t="s">
        <v>223</v>
      </c>
      <c r="AD52" t="s">
        <v>223</v>
      </c>
      <c r="AE52" t="s">
        <v>272</v>
      </c>
      <c r="AF52">
        <v>6</v>
      </c>
    </row>
    <row r="53" spans="1:32">
      <c r="A53" t="s">
        <v>312</v>
      </c>
      <c r="B53" t="s">
        <v>306</v>
      </c>
      <c r="C53" t="s">
        <v>288</v>
      </c>
      <c r="D53">
        <v>14</v>
      </c>
      <c r="E53">
        <v>18</v>
      </c>
      <c r="F53" t="s">
        <v>236</v>
      </c>
      <c r="G53">
        <v>4</v>
      </c>
      <c r="H53" t="s">
        <v>223</v>
      </c>
      <c r="I53" t="s">
        <v>223</v>
      </c>
      <c r="J53" t="s">
        <v>272</v>
      </c>
      <c r="K53">
        <v>7</v>
      </c>
      <c r="L53">
        <v>43226.539986666699</v>
      </c>
      <c r="M53">
        <v>1138.77491048006</v>
      </c>
      <c r="N53">
        <v>52</v>
      </c>
      <c r="O53">
        <v>0.34200000000000003</v>
      </c>
      <c r="P53">
        <f t="shared" si="1"/>
        <v>82287.364436119286</v>
      </c>
      <c r="R53" t="b">
        <f t="shared" si="0"/>
        <v>1</v>
      </c>
      <c r="S53" t="s">
        <v>312</v>
      </c>
      <c r="T53">
        <v>82287.364436119286</v>
      </c>
      <c r="W53" t="s">
        <v>306</v>
      </c>
      <c r="X53" t="s">
        <v>288</v>
      </c>
      <c r="Y53">
        <v>14</v>
      </c>
      <c r="Z53">
        <v>18</v>
      </c>
      <c r="AA53" t="s">
        <v>236</v>
      </c>
      <c r="AB53">
        <v>4</v>
      </c>
      <c r="AC53" t="s">
        <v>223</v>
      </c>
      <c r="AD53" t="s">
        <v>223</v>
      </c>
      <c r="AE53" t="s">
        <v>272</v>
      </c>
      <c r="AF53">
        <v>7</v>
      </c>
    </row>
    <row r="54" spans="1:32">
      <c r="A54" t="s">
        <v>313</v>
      </c>
      <c r="B54" t="s">
        <v>306</v>
      </c>
      <c r="C54" t="s">
        <v>290</v>
      </c>
      <c r="D54">
        <v>18</v>
      </c>
      <c r="E54">
        <v>22</v>
      </c>
      <c r="F54" t="s">
        <v>291</v>
      </c>
      <c r="G54">
        <v>4</v>
      </c>
      <c r="H54" t="s">
        <v>223</v>
      </c>
      <c r="I54" t="s">
        <v>223</v>
      </c>
      <c r="J54" t="s">
        <v>272</v>
      </c>
      <c r="K54">
        <v>8</v>
      </c>
      <c r="L54">
        <v>36303.895060000003</v>
      </c>
      <c r="M54">
        <v>266.875102941911</v>
      </c>
      <c r="N54">
        <v>53</v>
      </c>
      <c r="O54">
        <v>0.32900000000000001</v>
      </c>
      <c r="P54">
        <f t="shared" si="1"/>
        <v>71839.964578584098</v>
      </c>
      <c r="R54" t="b">
        <f t="shared" si="0"/>
        <v>1</v>
      </c>
      <c r="S54" t="s">
        <v>313</v>
      </c>
      <c r="T54">
        <v>71839.964578584098</v>
      </c>
      <c r="W54" t="s">
        <v>306</v>
      </c>
      <c r="X54" t="s">
        <v>290</v>
      </c>
      <c r="Y54">
        <v>18</v>
      </c>
      <c r="Z54">
        <v>22</v>
      </c>
      <c r="AA54" t="s">
        <v>291</v>
      </c>
      <c r="AB54">
        <v>4</v>
      </c>
      <c r="AC54" t="s">
        <v>223</v>
      </c>
      <c r="AD54" t="s">
        <v>223</v>
      </c>
      <c r="AE54" t="s">
        <v>272</v>
      </c>
      <c r="AF54">
        <v>8</v>
      </c>
    </row>
    <row r="55" spans="1:32">
      <c r="A55" t="s">
        <v>314</v>
      </c>
      <c r="B55" t="s">
        <v>306</v>
      </c>
      <c r="C55" t="s">
        <v>293</v>
      </c>
      <c r="D55">
        <v>22</v>
      </c>
      <c r="E55">
        <v>26</v>
      </c>
      <c r="F55" t="s">
        <v>294</v>
      </c>
      <c r="G55">
        <v>4</v>
      </c>
      <c r="H55" t="s">
        <v>223</v>
      </c>
      <c r="I55" t="s">
        <v>223</v>
      </c>
      <c r="J55" t="s">
        <v>272</v>
      </c>
      <c r="K55">
        <v>9</v>
      </c>
      <c r="L55">
        <v>41856.882716666703</v>
      </c>
      <c r="M55">
        <v>2700.72441494759</v>
      </c>
      <c r="N55">
        <v>54</v>
      </c>
      <c r="O55">
        <v>0.32800000000000001</v>
      </c>
      <c r="P55">
        <f t="shared" si="1"/>
        <v>83081.020382103306</v>
      </c>
      <c r="R55" t="b">
        <f t="shared" si="0"/>
        <v>1</v>
      </c>
      <c r="S55" t="s">
        <v>314</v>
      </c>
      <c r="T55">
        <v>83081.020382103306</v>
      </c>
      <c r="W55" t="s">
        <v>306</v>
      </c>
      <c r="X55" t="s">
        <v>293</v>
      </c>
      <c r="Y55">
        <v>22</v>
      </c>
      <c r="Z55">
        <v>26</v>
      </c>
      <c r="AA55" t="s">
        <v>294</v>
      </c>
      <c r="AB55">
        <v>4</v>
      </c>
      <c r="AC55" t="s">
        <v>223</v>
      </c>
      <c r="AD55" t="s">
        <v>223</v>
      </c>
      <c r="AE55" t="s">
        <v>272</v>
      </c>
      <c r="AF55">
        <v>9</v>
      </c>
    </row>
    <row r="56" spans="1:32">
      <c r="A56" t="s">
        <v>327</v>
      </c>
      <c r="B56" t="s">
        <v>328</v>
      </c>
      <c r="C56" t="s">
        <v>317</v>
      </c>
      <c r="D56">
        <v>0</v>
      </c>
      <c r="E56">
        <v>10</v>
      </c>
      <c r="F56" t="s">
        <v>318</v>
      </c>
      <c r="G56">
        <v>10</v>
      </c>
      <c r="H56" t="s">
        <v>319</v>
      </c>
      <c r="I56" t="s">
        <v>329</v>
      </c>
      <c r="J56" t="s">
        <v>272</v>
      </c>
      <c r="K56">
        <v>1</v>
      </c>
      <c r="L56">
        <v>256809.24183000001</v>
      </c>
      <c r="M56">
        <v>19760.117357496802</v>
      </c>
      <c r="N56">
        <v>55</v>
      </c>
      <c r="O56">
        <v>0.249</v>
      </c>
      <c r="P56">
        <f t="shared" si="1"/>
        <v>671459.9068931978</v>
      </c>
      <c r="R56" t="b">
        <f t="shared" si="0"/>
        <v>1</v>
      </c>
      <c r="S56" t="s">
        <v>327</v>
      </c>
      <c r="T56">
        <v>671459.9068931978</v>
      </c>
      <c r="W56" t="s">
        <v>328</v>
      </c>
      <c r="X56" t="s">
        <v>317</v>
      </c>
      <c r="Y56">
        <v>0</v>
      </c>
      <c r="Z56">
        <v>10</v>
      </c>
      <c r="AA56" t="s">
        <v>318</v>
      </c>
      <c r="AB56">
        <v>10</v>
      </c>
      <c r="AC56" t="s">
        <v>319</v>
      </c>
      <c r="AD56" t="s">
        <v>329</v>
      </c>
      <c r="AE56" t="s">
        <v>272</v>
      </c>
      <c r="AF56">
        <v>1</v>
      </c>
    </row>
    <row r="57" spans="1:32">
      <c r="A57" t="s">
        <v>330</v>
      </c>
      <c r="B57" t="s">
        <v>328</v>
      </c>
      <c r="C57" t="s">
        <v>322</v>
      </c>
      <c r="D57">
        <v>10</v>
      </c>
      <c r="E57">
        <v>20</v>
      </c>
      <c r="F57" s="1" t="s">
        <v>323</v>
      </c>
      <c r="G57">
        <v>10</v>
      </c>
      <c r="H57" t="s">
        <v>319</v>
      </c>
      <c r="I57" t="s">
        <v>329</v>
      </c>
      <c r="J57" t="s">
        <v>272</v>
      </c>
      <c r="K57">
        <v>2</v>
      </c>
      <c r="L57">
        <v>444903.91181999998</v>
      </c>
      <c r="M57">
        <v>33750.541376130903</v>
      </c>
      <c r="N57">
        <v>56</v>
      </c>
      <c r="O57">
        <v>0.26100000000000001</v>
      </c>
      <c r="P57">
        <f t="shared" si="1"/>
        <v>1109773.8860452585</v>
      </c>
      <c r="R57" t="b">
        <f t="shared" si="0"/>
        <v>1</v>
      </c>
      <c r="S57" t="s">
        <v>330</v>
      </c>
      <c r="T57">
        <v>1109773.8860452585</v>
      </c>
      <c r="W57" t="s">
        <v>328</v>
      </c>
      <c r="X57" t="s">
        <v>322</v>
      </c>
      <c r="Y57">
        <v>10</v>
      </c>
      <c r="Z57">
        <v>20</v>
      </c>
      <c r="AA57" s="3">
        <v>45950</v>
      </c>
      <c r="AB57">
        <v>10</v>
      </c>
      <c r="AC57" t="s">
        <v>319</v>
      </c>
      <c r="AD57" t="s">
        <v>329</v>
      </c>
      <c r="AE57" t="s">
        <v>272</v>
      </c>
      <c r="AF57">
        <v>2</v>
      </c>
    </row>
    <row r="58" spans="1:32">
      <c r="A58" t="s">
        <v>331</v>
      </c>
      <c r="B58" t="s">
        <v>332</v>
      </c>
      <c r="C58" t="s">
        <v>317</v>
      </c>
      <c r="D58">
        <v>0</v>
      </c>
      <c r="E58">
        <v>10</v>
      </c>
      <c r="F58" t="s">
        <v>318</v>
      </c>
      <c r="G58">
        <v>10</v>
      </c>
      <c r="H58" t="s">
        <v>319</v>
      </c>
      <c r="I58" t="s">
        <v>329</v>
      </c>
      <c r="J58" t="s">
        <v>272</v>
      </c>
      <c r="K58">
        <v>1</v>
      </c>
      <c r="L58">
        <v>307908.40053749998</v>
      </c>
      <c r="M58">
        <v>23671.763287596801</v>
      </c>
      <c r="N58">
        <v>57</v>
      </c>
      <c r="O58">
        <v>0.26600000000000001</v>
      </c>
      <c r="P58">
        <f t="shared" si="1"/>
        <v>753613.52731805097</v>
      </c>
      <c r="R58" t="b">
        <f t="shared" si="0"/>
        <v>1</v>
      </c>
      <c r="S58" t="s">
        <v>331</v>
      </c>
      <c r="T58">
        <v>753613.52731805097</v>
      </c>
      <c r="W58" t="s">
        <v>332</v>
      </c>
      <c r="X58" t="s">
        <v>317</v>
      </c>
      <c r="Y58">
        <v>0</v>
      </c>
      <c r="Z58">
        <v>10</v>
      </c>
      <c r="AA58" t="s">
        <v>318</v>
      </c>
      <c r="AB58">
        <v>10</v>
      </c>
      <c r="AC58" t="s">
        <v>319</v>
      </c>
      <c r="AD58" t="s">
        <v>329</v>
      </c>
      <c r="AE58" t="s">
        <v>272</v>
      </c>
      <c r="AF58">
        <v>1</v>
      </c>
    </row>
    <row r="59" spans="1:32">
      <c r="A59" t="s">
        <v>333</v>
      </c>
      <c r="B59" t="s">
        <v>332</v>
      </c>
      <c r="C59" t="s">
        <v>322</v>
      </c>
      <c r="D59">
        <v>10</v>
      </c>
      <c r="E59">
        <v>20</v>
      </c>
      <c r="F59" s="1" t="s">
        <v>323</v>
      </c>
      <c r="G59">
        <v>10</v>
      </c>
      <c r="H59" t="s">
        <v>319</v>
      </c>
      <c r="I59" t="s">
        <v>329</v>
      </c>
      <c r="J59" t="s">
        <v>272</v>
      </c>
      <c r="K59">
        <v>2</v>
      </c>
      <c r="L59">
        <v>821229.37178000004</v>
      </c>
      <c r="M59">
        <v>27262.366591163202</v>
      </c>
      <c r="N59">
        <v>58</v>
      </c>
      <c r="O59">
        <v>0.27</v>
      </c>
      <c r="P59">
        <f t="shared" si="1"/>
        <v>1980201.9959972994</v>
      </c>
      <c r="R59" t="b">
        <f t="shared" si="0"/>
        <v>1</v>
      </c>
      <c r="S59" t="s">
        <v>333</v>
      </c>
      <c r="T59">
        <v>1980201.9959972994</v>
      </c>
      <c r="W59" t="s">
        <v>332</v>
      </c>
      <c r="X59" t="s">
        <v>322</v>
      </c>
      <c r="Y59">
        <v>10</v>
      </c>
      <c r="Z59">
        <v>20</v>
      </c>
      <c r="AA59" s="3">
        <v>45950</v>
      </c>
      <c r="AB59">
        <v>10</v>
      </c>
      <c r="AC59" t="s">
        <v>319</v>
      </c>
      <c r="AD59" t="s">
        <v>329</v>
      </c>
      <c r="AE59" t="s">
        <v>272</v>
      </c>
      <c r="AF59">
        <v>2</v>
      </c>
    </row>
    <row r="60" spans="1:32">
      <c r="A60" t="s">
        <v>315</v>
      </c>
      <c r="B60" t="s">
        <v>316</v>
      </c>
      <c r="C60" t="s">
        <v>317</v>
      </c>
      <c r="D60">
        <v>0</v>
      </c>
      <c r="E60">
        <v>10</v>
      </c>
      <c r="F60" t="s">
        <v>318</v>
      </c>
      <c r="G60">
        <v>10</v>
      </c>
      <c r="H60" t="s">
        <v>319</v>
      </c>
      <c r="I60" t="s">
        <v>320</v>
      </c>
      <c r="J60" t="s">
        <v>224</v>
      </c>
      <c r="K60">
        <v>1</v>
      </c>
      <c r="L60">
        <v>34732.155069333297</v>
      </c>
      <c r="M60">
        <v>6980.0084518150998</v>
      </c>
      <c r="N60">
        <v>59</v>
      </c>
      <c r="O60">
        <v>0.25600000000000001</v>
      </c>
      <c r="P60">
        <f t="shared" si="1"/>
        <v>88328.437981499475</v>
      </c>
      <c r="R60" t="b">
        <f t="shared" si="0"/>
        <v>1</v>
      </c>
      <c r="S60" t="s">
        <v>315</v>
      </c>
      <c r="T60">
        <v>88328.437981499475</v>
      </c>
      <c r="W60" t="s">
        <v>316</v>
      </c>
      <c r="X60" t="s">
        <v>317</v>
      </c>
      <c r="Y60">
        <v>0</v>
      </c>
      <c r="Z60">
        <v>10</v>
      </c>
      <c r="AA60" t="s">
        <v>318</v>
      </c>
      <c r="AB60">
        <v>10</v>
      </c>
      <c r="AC60" t="s">
        <v>319</v>
      </c>
      <c r="AD60" t="s">
        <v>320</v>
      </c>
      <c r="AE60" t="s">
        <v>224</v>
      </c>
      <c r="AF60">
        <v>1</v>
      </c>
    </row>
    <row r="61" spans="1:32">
      <c r="A61" t="s">
        <v>321</v>
      </c>
      <c r="B61" t="s">
        <v>316</v>
      </c>
      <c r="C61" t="s">
        <v>322</v>
      </c>
      <c r="D61">
        <v>10</v>
      </c>
      <c r="E61">
        <v>20</v>
      </c>
      <c r="F61" s="1" t="s">
        <v>323</v>
      </c>
      <c r="G61">
        <v>10</v>
      </c>
      <c r="H61" t="s">
        <v>319</v>
      </c>
      <c r="I61" t="s">
        <v>320</v>
      </c>
      <c r="J61" t="s">
        <v>224</v>
      </c>
      <c r="K61">
        <v>2</v>
      </c>
      <c r="L61">
        <v>26533.494128499999</v>
      </c>
      <c r="M61">
        <v>1729.67266129671</v>
      </c>
      <c r="N61">
        <v>60</v>
      </c>
      <c r="O61">
        <v>0.26100000000000001</v>
      </c>
      <c r="P61">
        <f t="shared" si="1"/>
        <v>66185.479846394082</v>
      </c>
      <c r="R61" t="b">
        <f t="shared" si="0"/>
        <v>1</v>
      </c>
      <c r="S61" t="s">
        <v>321</v>
      </c>
      <c r="T61">
        <v>66185.479846394082</v>
      </c>
      <c r="W61" t="s">
        <v>316</v>
      </c>
      <c r="X61" t="s">
        <v>322</v>
      </c>
      <c r="Y61">
        <v>10</v>
      </c>
      <c r="Z61">
        <v>20</v>
      </c>
      <c r="AA61" s="3">
        <v>45950</v>
      </c>
      <c r="AB61">
        <v>10</v>
      </c>
      <c r="AC61" t="s">
        <v>319</v>
      </c>
      <c r="AD61" t="s">
        <v>320</v>
      </c>
      <c r="AE61" t="s">
        <v>224</v>
      </c>
      <c r="AF61">
        <v>2</v>
      </c>
    </row>
    <row r="62" spans="1:32">
      <c r="A62" t="s">
        <v>324</v>
      </c>
      <c r="B62" t="s">
        <v>325</v>
      </c>
      <c r="C62" t="s">
        <v>317</v>
      </c>
      <c r="D62">
        <v>0</v>
      </c>
      <c r="E62">
        <v>10</v>
      </c>
      <c r="F62" t="s">
        <v>318</v>
      </c>
      <c r="G62">
        <v>10</v>
      </c>
      <c r="H62" t="s">
        <v>319</v>
      </c>
      <c r="I62" t="s">
        <v>320</v>
      </c>
      <c r="J62" t="s">
        <v>224</v>
      </c>
      <c r="K62">
        <v>1</v>
      </c>
      <c r="L62">
        <v>55783.578208799998</v>
      </c>
      <c r="M62">
        <v>5290.2579074846099</v>
      </c>
      <c r="N62">
        <v>61</v>
      </c>
      <c r="O62">
        <v>0.39100000000000001</v>
      </c>
      <c r="P62">
        <f t="shared" si="1"/>
        <v>92883.462224264702</v>
      </c>
      <c r="R62" t="b">
        <f t="shared" si="0"/>
        <v>1</v>
      </c>
      <c r="S62" t="s">
        <v>324</v>
      </c>
      <c r="T62">
        <v>92883.462224264702</v>
      </c>
      <c r="W62" t="s">
        <v>325</v>
      </c>
      <c r="X62" t="s">
        <v>317</v>
      </c>
      <c r="Y62">
        <v>0</v>
      </c>
      <c r="Z62">
        <v>10</v>
      </c>
      <c r="AA62" t="s">
        <v>318</v>
      </c>
      <c r="AB62">
        <v>10</v>
      </c>
      <c r="AC62" t="s">
        <v>319</v>
      </c>
      <c r="AD62" t="s">
        <v>320</v>
      </c>
      <c r="AE62" t="s">
        <v>224</v>
      </c>
      <c r="AF62">
        <v>1</v>
      </c>
    </row>
    <row r="63" spans="1:32">
      <c r="A63" t="s">
        <v>326</v>
      </c>
      <c r="B63" t="s">
        <v>325</v>
      </c>
      <c r="C63" t="s">
        <v>322</v>
      </c>
      <c r="D63">
        <v>10</v>
      </c>
      <c r="E63">
        <v>20</v>
      </c>
      <c r="F63" s="1" t="s">
        <v>323</v>
      </c>
      <c r="G63">
        <v>10</v>
      </c>
      <c r="H63" t="s">
        <v>319</v>
      </c>
      <c r="I63" t="s">
        <v>320</v>
      </c>
      <c r="J63" t="s">
        <v>224</v>
      </c>
      <c r="K63">
        <v>2</v>
      </c>
      <c r="L63">
        <v>43198.584896666704</v>
      </c>
      <c r="M63">
        <v>5682.2474621935698</v>
      </c>
      <c r="N63">
        <v>62</v>
      </c>
      <c r="O63">
        <v>0.29899999999999999</v>
      </c>
      <c r="P63">
        <f t="shared" si="1"/>
        <v>94060.463908921025</v>
      </c>
      <c r="R63" t="b">
        <f t="shared" si="0"/>
        <v>1</v>
      </c>
      <c r="S63" t="s">
        <v>326</v>
      </c>
      <c r="T63">
        <v>94060.463908921025</v>
      </c>
      <c r="W63" t="s">
        <v>325</v>
      </c>
      <c r="X63" t="s">
        <v>322</v>
      </c>
      <c r="Y63">
        <v>10</v>
      </c>
      <c r="Z63">
        <v>20</v>
      </c>
      <c r="AA63" s="3">
        <v>45950</v>
      </c>
      <c r="AB63">
        <v>10</v>
      </c>
      <c r="AC63" t="s">
        <v>319</v>
      </c>
      <c r="AD63" t="s">
        <v>320</v>
      </c>
      <c r="AE63" t="s">
        <v>224</v>
      </c>
      <c r="AF63">
        <v>2</v>
      </c>
    </row>
    <row r="64" spans="1:32">
      <c r="L64">
        <v>0</v>
      </c>
      <c r="M64">
        <v>0</v>
      </c>
      <c r="S64" t="s">
        <v>351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>
      <c r="L65">
        <v>0</v>
      </c>
      <c r="M65">
        <v>0</v>
      </c>
      <c r="S65" t="s">
        <v>350</v>
      </c>
      <c r="W65" t="s">
        <v>350</v>
      </c>
      <c r="X65" t="s">
        <v>350</v>
      </c>
      <c r="Y65" t="s">
        <v>350</v>
      </c>
      <c r="Z65" t="s">
        <v>350</v>
      </c>
      <c r="AA65" t="s">
        <v>350</v>
      </c>
      <c r="AB65" t="s">
        <v>350</v>
      </c>
      <c r="AC65" t="s">
        <v>350</v>
      </c>
      <c r="AD65" t="s">
        <v>350</v>
      </c>
      <c r="AE65" t="s">
        <v>350</v>
      </c>
      <c r="AF65" t="s">
        <v>350</v>
      </c>
    </row>
    <row r="66" spans="1:32">
      <c r="A66" t="s">
        <v>356</v>
      </c>
      <c r="B66" t="s">
        <v>306</v>
      </c>
      <c r="C66" t="s">
        <v>271</v>
      </c>
      <c r="D66">
        <v>0</v>
      </c>
      <c r="E66">
        <v>2</v>
      </c>
      <c r="F66" t="s">
        <v>222</v>
      </c>
      <c r="G66">
        <v>2</v>
      </c>
      <c r="H66" t="s">
        <v>223</v>
      </c>
      <c r="I66" t="s">
        <v>223</v>
      </c>
      <c r="J66" t="s">
        <v>272</v>
      </c>
      <c r="K66">
        <v>1</v>
      </c>
      <c r="L66">
        <v>609.02846999999997</v>
      </c>
      <c r="M66">
        <v>22.21378</v>
      </c>
      <c r="N66">
        <v>1.5829770999999999E-2</v>
      </c>
      <c r="O66">
        <v>0.32700000000000001</v>
      </c>
      <c r="P66">
        <f t="shared" ref="P66" si="2">((L66*30)/48)*(1/0.96)/O66</f>
        <v>1212.5471258600919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BDB1C-4E8B-4D02-8528-CCC0F4A101EB}">
  <dimension ref="A1:L65"/>
  <sheetViews>
    <sheetView topLeftCell="A34" workbookViewId="0">
      <selection activeCell="P11" sqref="P11"/>
    </sheetView>
  </sheetViews>
  <sheetFormatPr defaultRowHeight="14.4"/>
  <cols>
    <col min="1" max="1" width="11.33203125" bestFit="1" customWidth="1"/>
    <col min="2" max="2" width="13.88671875" bestFit="1" customWidth="1"/>
  </cols>
  <sheetData>
    <row r="1" spans="1:12">
      <c r="A1" t="s">
        <v>208</v>
      </c>
      <c r="B1" t="s">
        <v>360</v>
      </c>
      <c r="C1" t="s">
        <v>209</v>
      </c>
      <c r="D1" t="s">
        <v>210</v>
      </c>
      <c r="E1" t="s">
        <v>211</v>
      </c>
      <c r="F1" t="s">
        <v>212</v>
      </c>
      <c r="G1" t="s">
        <v>213</v>
      </c>
      <c r="H1" t="s">
        <v>214</v>
      </c>
      <c r="I1" t="s">
        <v>215</v>
      </c>
      <c r="J1" t="s">
        <v>216</v>
      </c>
      <c r="K1" t="s">
        <v>217</v>
      </c>
      <c r="L1" t="s">
        <v>218</v>
      </c>
    </row>
    <row r="2" spans="1:12">
      <c r="A2" t="s">
        <v>219</v>
      </c>
      <c r="B2">
        <v>112775.27047779999</v>
      </c>
      <c r="C2" t="s">
        <v>220</v>
      </c>
      <c r="D2" t="s">
        <v>221</v>
      </c>
      <c r="E2">
        <v>0</v>
      </c>
      <c r="F2">
        <v>2</v>
      </c>
      <c r="G2" t="s">
        <v>222</v>
      </c>
      <c r="H2">
        <v>2</v>
      </c>
      <c r="I2" t="s">
        <v>223</v>
      </c>
      <c r="J2" t="s">
        <v>223</v>
      </c>
      <c r="K2" t="s">
        <v>224</v>
      </c>
      <c r="L2">
        <v>1</v>
      </c>
    </row>
    <row r="3" spans="1:12">
      <c r="A3" t="s">
        <v>225</v>
      </c>
      <c r="B3">
        <v>56.617499447528608</v>
      </c>
      <c r="C3" t="s">
        <v>220</v>
      </c>
      <c r="D3" t="s">
        <v>226</v>
      </c>
      <c r="E3">
        <v>2</v>
      </c>
      <c r="F3">
        <v>6</v>
      </c>
      <c r="G3" s="3">
        <v>45694</v>
      </c>
      <c r="H3">
        <v>4</v>
      </c>
      <c r="I3" t="s">
        <v>223</v>
      </c>
      <c r="J3" t="s">
        <v>223</v>
      </c>
      <c r="K3" t="s">
        <v>224</v>
      </c>
      <c r="L3">
        <v>2</v>
      </c>
    </row>
    <row r="4" spans="1:12">
      <c r="A4" t="s">
        <v>228</v>
      </c>
      <c r="B4">
        <v>7.6305017800634412</v>
      </c>
      <c r="C4" t="s">
        <v>220</v>
      </c>
      <c r="D4" t="s">
        <v>229</v>
      </c>
      <c r="E4">
        <v>6</v>
      </c>
      <c r="F4">
        <v>10</v>
      </c>
      <c r="G4" s="3">
        <v>45818</v>
      </c>
      <c r="H4">
        <v>4</v>
      </c>
      <c r="I4" t="s">
        <v>223</v>
      </c>
      <c r="J4" t="s">
        <v>223</v>
      </c>
      <c r="K4" t="s">
        <v>224</v>
      </c>
      <c r="L4">
        <v>3</v>
      </c>
    </row>
    <row r="5" spans="1:12">
      <c r="A5" t="s">
        <v>231</v>
      </c>
      <c r="B5">
        <v>40212.869938512813</v>
      </c>
      <c r="C5" t="s">
        <v>220</v>
      </c>
      <c r="D5" t="s">
        <v>232</v>
      </c>
      <c r="E5">
        <v>10</v>
      </c>
      <c r="F5">
        <v>14</v>
      </c>
      <c r="G5" s="3">
        <v>45944</v>
      </c>
      <c r="H5">
        <v>4</v>
      </c>
      <c r="I5" t="s">
        <v>223</v>
      </c>
      <c r="J5" t="s">
        <v>223</v>
      </c>
      <c r="K5" t="s">
        <v>224</v>
      </c>
      <c r="L5">
        <v>4</v>
      </c>
    </row>
    <row r="6" spans="1:12">
      <c r="A6" t="s">
        <v>234</v>
      </c>
      <c r="B6">
        <v>186653.37405378945</v>
      </c>
      <c r="C6" t="s">
        <v>220</v>
      </c>
      <c r="D6" t="s">
        <v>235</v>
      </c>
      <c r="E6">
        <v>14</v>
      </c>
      <c r="F6">
        <v>18</v>
      </c>
      <c r="G6" t="s">
        <v>236</v>
      </c>
      <c r="H6">
        <v>4</v>
      </c>
      <c r="I6" t="s">
        <v>223</v>
      </c>
      <c r="J6" t="s">
        <v>223</v>
      </c>
      <c r="K6" t="s">
        <v>224</v>
      </c>
      <c r="L6">
        <v>5</v>
      </c>
    </row>
    <row r="7" spans="1:12">
      <c r="A7" t="s">
        <v>237</v>
      </c>
      <c r="B7">
        <v>69400.161512775871</v>
      </c>
      <c r="C7" t="s">
        <v>220</v>
      </c>
      <c r="D7" t="s">
        <v>238</v>
      </c>
      <c r="E7">
        <v>18</v>
      </c>
      <c r="F7">
        <v>21</v>
      </c>
      <c r="G7" t="s">
        <v>239</v>
      </c>
      <c r="H7">
        <v>3</v>
      </c>
      <c r="I7" t="s">
        <v>223</v>
      </c>
      <c r="J7" t="s">
        <v>223</v>
      </c>
      <c r="K7" t="s">
        <v>224</v>
      </c>
      <c r="L7">
        <v>6</v>
      </c>
    </row>
    <row r="8" spans="1:12">
      <c r="A8" t="s">
        <v>240</v>
      </c>
      <c r="B8">
        <v>162884.66066984963</v>
      </c>
      <c r="C8" t="s">
        <v>220</v>
      </c>
      <c r="D8" t="s">
        <v>241</v>
      </c>
      <c r="E8">
        <v>21</v>
      </c>
      <c r="F8">
        <v>23</v>
      </c>
      <c r="G8" t="s">
        <v>242</v>
      </c>
      <c r="H8">
        <v>2</v>
      </c>
      <c r="I8" t="s">
        <v>223</v>
      </c>
      <c r="J8" t="s">
        <v>223</v>
      </c>
      <c r="K8" t="s">
        <v>224</v>
      </c>
      <c r="L8">
        <v>7</v>
      </c>
    </row>
    <row r="9" spans="1:12">
      <c r="A9" t="s">
        <v>243</v>
      </c>
      <c r="B9">
        <v>840391.44405013241</v>
      </c>
      <c r="C9" t="s">
        <v>220</v>
      </c>
      <c r="D9" t="s">
        <v>244</v>
      </c>
      <c r="E9">
        <v>23</v>
      </c>
      <c r="F9">
        <v>25</v>
      </c>
      <c r="G9" t="s">
        <v>245</v>
      </c>
      <c r="H9">
        <v>2</v>
      </c>
      <c r="I9" t="s">
        <v>223</v>
      </c>
      <c r="J9" t="s">
        <v>223</v>
      </c>
      <c r="K9" t="s">
        <v>224</v>
      </c>
      <c r="L9">
        <v>8</v>
      </c>
    </row>
    <row r="10" spans="1:12">
      <c r="A10" t="s">
        <v>246</v>
      </c>
      <c r="B10">
        <v>288819.04954492784</v>
      </c>
      <c r="C10" t="s">
        <v>220</v>
      </c>
      <c r="D10" t="s">
        <v>247</v>
      </c>
      <c r="E10">
        <v>25</v>
      </c>
      <c r="F10">
        <v>27</v>
      </c>
      <c r="G10" t="s">
        <v>248</v>
      </c>
      <c r="H10">
        <v>2</v>
      </c>
      <c r="I10" t="s">
        <v>223</v>
      </c>
      <c r="J10" t="s">
        <v>223</v>
      </c>
      <c r="K10" t="s">
        <v>224</v>
      </c>
      <c r="L10">
        <v>9</v>
      </c>
    </row>
    <row r="11" spans="1:12">
      <c r="A11" t="s">
        <v>249</v>
      </c>
      <c r="B11">
        <v>114003.3289216509</v>
      </c>
      <c r="C11" t="s">
        <v>250</v>
      </c>
      <c r="D11" t="s">
        <v>221</v>
      </c>
      <c r="E11">
        <v>0</v>
      </c>
      <c r="F11">
        <v>2</v>
      </c>
      <c r="G11" t="s">
        <v>222</v>
      </c>
      <c r="H11">
        <v>2</v>
      </c>
      <c r="I11" t="s">
        <v>223</v>
      </c>
      <c r="J11" t="s">
        <v>223</v>
      </c>
      <c r="K11" t="s">
        <v>224</v>
      </c>
      <c r="L11">
        <v>1</v>
      </c>
    </row>
    <row r="12" spans="1:12">
      <c r="A12" t="s">
        <v>251</v>
      </c>
      <c r="B12">
        <v>1.0894530746026958</v>
      </c>
      <c r="C12" t="s">
        <v>250</v>
      </c>
      <c r="D12" t="s">
        <v>226</v>
      </c>
      <c r="E12">
        <v>2</v>
      </c>
      <c r="F12">
        <v>6</v>
      </c>
      <c r="G12" s="3">
        <v>45694</v>
      </c>
      <c r="H12">
        <v>4</v>
      </c>
      <c r="I12" t="s">
        <v>223</v>
      </c>
      <c r="J12" t="s">
        <v>223</v>
      </c>
      <c r="K12" t="s">
        <v>224</v>
      </c>
      <c r="L12">
        <v>2</v>
      </c>
    </row>
    <row r="13" spans="1:12">
      <c r="A13" t="s">
        <v>252</v>
      </c>
      <c r="B13">
        <v>165.22920979524051</v>
      </c>
      <c r="C13" t="s">
        <v>250</v>
      </c>
      <c r="D13" t="s">
        <v>229</v>
      </c>
      <c r="E13">
        <v>6</v>
      </c>
      <c r="F13">
        <v>10</v>
      </c>
      <c r="G13" s="3">
        <v>45818</v>
      </c>
      <c r="H13">
        <v>4</v>
      </c>
      <c r="I13" t="s">
        <v>223</v>
      </c>
      <c r="J13" t="s">
        <v>223</v>
      </c>
      <c r="K13" t="s">
        <v>224</v>
      </c>
      <c r="L13">
        <v>3</v>
      </c>
    </row>
    <row r="14" spans="1:12">
      <c r="A14" t="s">
        <v>253</v>
      </c>
      <c r="B14">
        <v>116900.26676678153</v>
      </c>
      <c r="C14" t="s">
        <v>250</v>
      </c>
      <c r="D14" t="s">
        <v>232</v>
      </c>
      <c r="E14">
        <v>10</v>
      </c>
      <c r="F14">
        <v>14</v>
      </c>
      <c r="G14" s="3">
        <v>45944</v>
      </c>
      <c r="H14">
        <v>4</v>
      </c>
      <c r="I14" t="s">
        <v>223</v>
      </c>
      <c r="J14" t="s">
        <v>223</v>
      </c>
      <c r="K14" t="s">
        <v>224</v>
      </c>
      <c r="L14">
        <v>4</v>
      </c>
    </row>
    <row r="15" spans="1:12">
      <c r="A15" t="s">
        <v>254</v>
      </c>
      <c r="B15">
        <v>149721.2739735705</v>
      </c>
      <c r="C15" t="s">
        <v>250</v>
      </c>
      <c r="D15" t="s">
        <v>235</v>
      </c>
      <c r="E15">
        <v>14</v>
      </c>
      <c r="F15">
        <v>18</v>
      </c>
      <c r="G15" t="s">
        <v>236</v>
      </c>
      <c r="H15">
        <v>4</v>
      </c>
      <c r="I15" t="s">
        <v>223</v>
      </c>
      <c r="J15" t="s">
        <v>223</v>
      </c>
      <c r="K15" t="s">
        <v>224</v>
      </c>
      <c r="L15">
        <v>5</v>
      </c>
    </row>
    <row r="16" spans="1:12">
      <c r="A16" t="s">
        <v>255</v>
      </c>
      <c r="B16">
        <v>182693.08303184423</v>
      </c>
      <c r="C16" t="s">
        <v>250</v>
      </c>
      <c r="D16" t="s">
        <v>238</v>
      </c>
      <c r="E16">
        <v>18</v>
      </c>
      <c r="F16">
        <v>21</v>
      </c>
      <c r="G16" t="s">
        <v>239</v>
      </c>
      <c r="H16">
        <v>3</v>
      </c>
      <c r="I16" t="s">
        <v>223</v>
      </c>
      <c r="J16" t="s">
        <v>223</v>
      </c>
      <c r="K16" t="s">
        <v>224</v>
      </c>
      <c r="L16">
        <v>6</v>
      </c>
    </row>
    <row r="17" spans="1:12">
      <c r="A17" t="s">
        <v>256</v>
      </c>
      <c r="B17">
        <v>186475.81539201146</v>
      </c>
      <c r="C17" t="s">
        <v>250</v>
      </c>
      <c r="D17" t="s">
        <v>241</v>
      </c>
      <c r="E17">
        <v>21</v>
      </c>
      <c r="F17">
        <v>23</v>
      </c>
      <c r="G17" t="s">
        <v>242</v>
      </c>
      <c r="H17">
        <v>2</v>
      </c>
      <c r="I17" t="s">
        <v>223</v>
      </c>
      <c r="J17" t="s">
        <v>223</v>
      </c>
      <c r="K17" t="s">
        <v>224</v>
      </c>
      <c r="L17">
        <v>7</v>
      </c>
    </row>
    <row r="18" spans="1:12">
      <c r="A18" t="s">
        <v>257</v>
      </c>
      <c r="B18">
        <v>286935.78241377918</v>
      </c>
      <c r="C18" t="s">
        <v>250</v>
      </c>
      <c r="D18" t="s">
        <v>244</v>
      </c>
      <c r="E18">
        <v>23</v>
      </c>
      <c r="F18">
        <v>25</v>
      </c>
      <c r="G18" t="s">
        <v>245</v>
      </c>
      <c r="H18">
        <v>2</v>
      </c>
      <c r="I18" t="s">
        <v>223</v>
      </c>
      <c r="J18" t="s">
        <v>223</v>
      </c>
      <c r="K18" t="s">
        <v>224</v>
      </c>
      <c r="L18">
        <v>8</v>
      </c>
    </row>
    <row r="19" spans="1:12">
      <c r="A19" t="s">
        <v>258</v>
      </c>
      <c r="B19">
        <v>296232.25987746421</v>
      </c>
      <c r="C19" t="s">
        <v>250</v>
      </c>
      <c r="D19" t="s">
        <v>247</v>
      </c>
      <c r="E19">
        <v>25</v>
      </c>
      <c r="F19">
        <v>27</v>
      </c>
      <c r="G19" t="s">
        <v>248</v>
      </c>
      <c r="H19">
        <v>2</v>
      </c>
      <c r="I19" t="s">
        <v>223</v>
      </c>
      <c r="J19" t="s">
        <v>223</v>
      </c>
      <c r="K19" t="s">
        <v>224</v>
      </c>
      <c r="L19">
        <v>9</v>
      </c>
    </row>
    <row r="20" spans="1:12">
      <c r="A20" t="s">
        <v>259</v>
      </c>
      <c r="B20">
        <v>36580.807994764691</v>
      </c>
      <c r="C20" t="s">
        <v>260</v>
      </c>
      <c r="D20" t="s">
        <v>221</v>
      </c>
      <c r="E20">
        <v>0</v>
      </c>
      <c r="F20">
        <v>2</v>
      </c>
      <c r="G20" t="s">
        <v>222</v>
      </c>
      <c r="H20">
        <v>2</v>
      </c>
      <c r="I20" t="s">
        <v>223</v>
      </c>
      <c r="J20" t="s">
        <v>223</v>
      </c>
      <c r="K20" t="s">
        <v>224</v>
      </c>
      <c r="L20">
        <v>1</v>
      </c>
    </row>
    <row r="21" spans="1:12">
      <c r="A21" t="s">
        <v>261</v>
      </c>
      <c r="B21">
        <v>189.60063848412082</v>
      </c>
      <c r="C21" t="s">
        <v>260</v>
      </c>
      <c r="D21" t="s">
        <v>226</v>
      </c>
      <c r="E21">
        <v>2</v>
      </c>
      <c r="F21">
        <v>6</v>
      </c>
      <c r="G21" s="3">
        <v>45694</v>
      </c>
      <c r="H21">
        <v>4</v>
      </c>
      <c r="I21" t="s">
        <v>223</v>
      </c>
      <c r="J21" t="s">
        <v>223</v>
      </c>
      <c r="K21" t="s">
        <v>224</v>
      </c>
      <c r="L21">
        <v>2</v>
      </c>
    </row>
    <row r="22" spans="1:12">
      <c r="A22" t="s">
        <v>262</v>
      </c>
      <c r="B22">
        <v>17.436191269662938</v>
      </c>
      <c r="C22" t="s">
        <v>260</v>
      </c>
      <c r="D22" t="s">
        <v>229</v>
      </c>
      <c r="E22">
        <v>6</v>
      </c>
      <c r="F22">
        <v>10</v>
      </c>
      <c r="G22" s="3">
        <v>45818</v>
      </c>
      <c r="H22">
        <v>4</v>
      </c>
      <c r="I22" t="s">
        <v>223</v>
      </c>
      <c r="J22" t="s">
        <v>223</v>
      </c>
      <c r="K22" t="s">
        <v>224</v>
      </c>
      <c r="L22">
        <v>3</v>
      </c>
    </row>
    <row r="23" spans="1:12">
      <c r="A23" t="s">
        <v>263</v>
      </c>
      <c r="B23">
        <v>152615.10970574632</v>
      </c>
      <c r="C23" t="s">
        <v>260</v>
      </c>
      <c r="D23" t="s">
        <v>232</v>
      </c>
      <c r="E23">
        <v>10</v>
      </c>
      <c r="F23">
        <v>14</v>
      </c>
      <c r="G23" s="3">
        <v>45944</v>
      </c>
      <c r="H23">
        <v>4</v>
      </c>
      <c r="I23" t="s">
        <v>223</v>
      </c>
      <c r="J23" t="s">
        <v>223</v>
      </c>
      <c r="K23" t="s">
        <v>224</v>
      </c>
      <c r="L23">
        <v>4</v>
      </c>
    </row>
    <row r="24" spans="1:12">
      <c r="A24" t="s">
        <v>264</v>
      </c>
      <c r="B24">
        <v>168394.05111953217</v>
      </c>
      <c r="C24" t="s">
        <v>260</v>
      </c>
      <c r="D24" t="s">
        <v>235</v>
      </c>
      <c r="E24">
        <v>14</v>
      </c>
      <c r="F24">
        <v>18</v>
      </c>
      <c r="G24" t="s">
        <v>236</v>
      </c>
      <c r="H24">
        <v>4</v>
      </c>
      <c r="I24" t="s">
        <v>223</v>
      </c>
      <c r="J24" t="s">
        <v>223</v>
      </c>
      <c r="K24" t="s">
        <v>224</v>
      </c>
      <c r="L24">
        <v>5</v>
      </c>
    </row>
    <row r="25" spans="1:12">
      <c r="A25" t="s">
        <v>265</v>
      </c>
      <c r="B25">
        <v>181686.8351168345</v>
      </c>
      <c r="C25" t="s">
        <v>260</v>
      </c>
      <c r="D25" t="s">
        <v>238</v>
      </c>
      <c r="E25">
        <v>18</v>
      </c>
      <c r="F25">
        <v>21</v>
      </c>
      <c r="G25" t="s">
        <v>239</v>
      </c>
      <c r="H25">
        <v>3</v>
      </c>
      <c r="I25" t="s">
        <v>223</v>
      </c>
      <c r="J25" t="s">
        <v>223</v>
      </c>
      <c r="K25" t="s">
        <v>224</v>
      </c>
      <c r="L25">
        <v>6</v>
      </c>
    </row>
    <row r="26" spans="1:12">
      <c r="A26" t="s">
        <v>266</v>
      </c>
      <c r="B26">
        <v>159671.01246316553</v>
      </c>
      <c r="C26" t="s">
        <v>260</v>
      </c>
      <c r="D26" t="s">
        <v>241</v>
      </c>
      <c r="E26">
        <v>21</v>
      </c>
      <c r="F26">
        <v>23</v>
      </c>
      <c r="G26" t="s">
        <v>242</v>
      </c>
      <c r="H26">
        <v>2</v>
      </c>
      <c r="I26" t="s">
        <v>223</v>
      </c>
      <c r="J26" t="s">
        <v>223</v>
      </c>
      <c r="K26" t="s">
        <v>224</v>
      </c>
      <c r="L26">
        <v>7</v>
      </c>
    </row>
    <row r="27" spans="1:12">
      <c r="A27" t="s">
        <v>267</v>
      </c>
      <c r="B27">
        <v>231544.38902958354</v>
      </c>
      <c r="C27" t="s">
        <v>260</v>
      </c>
      <c r="D27" t="s">
        <v>244</v>
      </c>
      <c r="E27">
        <v>23</v>
      </c>
      <c r="F27">
        <v>25</v>
      </c>
      <c r="G27" t="s">
        <v>245</v>
      </c>
      <c r="H27">
        <v>2</v>
      </c>
      <c r="I27" t="s">
        <v>223</v>
      </c>
      <c r="J27" t="s">
        <v>223</v>
      </c>
      <c r="K27" t="s">
        <v>224</v>
      </c>
      <c r="L27">
        <v>8</v>
      </c>
    </row>
    <row r="28" spans="1:12">
      <c r="A28" t="s">
        <v>268</v>
      </c>
      <c r="B28">
        <v>269108.05115144956</v>
      </c>
      <c r="C28" t="s">
        <v>260</v>
      </c>
      <c r="D28" t="s">
        <v>247</v>
      </c>
      <c r="E28">
        <v>25</v>
      </c>
      <c r="F28">
        <v>27</v>
      </c>
      <c r="G28" t="s">
        <v>248</v>
      </c>
      <c r="H28">
        <v>2</v>
      </c>
      <c r="I28" t="s">
        <v>223</v>
      </c>
      <c r="J28" t="s">
        <v>223</v>
      </c>
      <c r="K28" t="s">
        <v>224</v>
      </c>
      <c r="L28">
        <v>9</v>
      </c>
    </row>
    <row r="29" spans="1:12">
      <c r="A29" t="s">
        <v>269</v>
      </c>
      <c r="B29">
        <v>97.587291038255401</v>
      </c>
      <c r="C29" t="s">
        <v>270</v>
      </c>
      <c r="D29" t="s">
        <v>271</v>
      </c>
      <c r="E29">
        <v>0</v>
      </c>
      <c r="F29">
        <v>2</v>
      </c>
      <c r="G29" t="s">
        <v>222</v>
      </c>
      <c r="H29">
        <v>2</v>
      </c>
      <c r="I29" t="s">
        <v>223</v>
      </c>
      <c r="J29" t="s">
        <v>223</v>
      </c>
      <c r="K29" t="s">
        <v>272</v>
      </c>
      <c r="L29">
        <v>1</v>
      </c>
    </row>
    <row r="30" spans="1:12">
      <c r="A30" t="s">
        <v>273</v>
      </c>
      <c r="B30">
        <v>36750.721501736058</v>
      </c>
      <c r="C30" t="s">
        <v>270</v>
      </c>
      <c r="D30" t="s">
        <v>274</v>
      </c>
      <c r="E30">
        <v>2</v>
      </c>
      <c r="F30">
        <v>4</v>
      </c>
      <c r="G30" s="3">
        <v>45692</v>
      </c>
      <c r="H30">
        <v>2</v>
      </c>
      <c r="I30" t="s">
        <v>223</v>
      </c>
      <c r="J30" t="s">
        <v>223</v>
      </c>
      <c r="K30" t="s">
        <v>272</v>
      </c>
      <c r="L30">
        <v>2</v>
      </c>
    </row>
    <row r="31" spans="1:12">
      <c r="A31" t="s">
        <v>276</v>
      </c>
      <c r="B31">
        <v>109783.2035929362</v>
      </c>
      <c r="C31" t="s">
        <v>270</v>
      </c>
      <c r="D31" t="s">
        <v>277</v>
      </c>
      <c r="E31">
        <v>4</v>
      </c>
      <c r="F31">
        <v>6</v>
      </c>
      <c r="G31" s="3">
        <v>45753</v>
      </c>
      <c r="H31">
        <v>2</v>
      </c>
      <c r="I31" t="s">
        <v>223</v>
      </c>
      <c r="J31" t="s">
        <v>223</v>
      </c>
      <c r="K31" t="s">
        <v>272</v>
      </c>
      <c r="L31">
        <v>3</v>
      </c>
    </row>
    <row r="32" spans="1:12">
      <c r="A32" t="s">
        <v>279</v>
      </c>
      <c r="B32">
        <v>138203.50175677909</v>
      </c>
      <c r="C32" t="s">
        <v>270</v>
      </c>
      <c r="D32" t="s">
        <v>280</v>
      </c>
      <c r="E32">
        <v>6</v>
      </c>
      <c r="F32">
        <v>8</v>
      </c>
      <c r="G32" s="3">
        <v>45816</v>
      </c>
      <c r="H32">
        <v>2</v>
      </c>
      <c r="I32" t="s">
        <v>223</v>
      </c>
      <c r="J32" t="s">
        <v>223</v>
      </c>
      <c r="K32" t="s">
        <v>272</v>
      </c>
      <c r="L32">
        <v>4</v>
      </c>
    </row>
    <row r="33" spans="1:12">
      <c r="A33" t="s">
        <v>282</v>
      </c>
      <c r="B33">
        <v>85511.232751709642</v>
      </c>
      <c r="C33" t="s">
        <v>270</v>
      </c>
      <c r="D33" t="s">
        <v>283</v>
      </c>
      <c r="E33">
        <v>8</v>
      </c>
      <c r="F33">
        <v>10</v>
      </c>
      <c r="G33" s="3">
        <v>45879</v>
      </c>
      <c r="H33">
        <v>2</v>
      </c>
      <c r="I33" t="s">
        <v>223</v>
      </c>
      <c r="J33" t="s">
        <v>223</v>
      </c>
      <c r="K33" t="s">
        <v>272</v>
      </c>
      <c r="L33">
        <v>5</v>
      </c>
    </row>
    <row r="34" spans="1:12">
      <c r="A34" t="s">
        <v>285</v>
      </c>
      <c r="B34">
        <v>136674.71265647851</v>
      </c>
      <c r="C34" t="s">
        <v>270</v>
      </c>
      <c r="D34" t="s">
        <v>286</v>
      </c>
      <c r="E34">
        <v>10</v>
      </c>
      <c r="F34">
        <v>14</v>
      </c>
      <c r="G34" s="3">
        <v>45944</v>
      </c>
      <c r="H34">
        <v>4</v>
      </c>
      <c r="I34" t="s">
        <v>223</v>
      </c>
      <c r="J34" t="s">
        <v>223</v>
      </c>
      <c r="K34" t="s">
        <v>272</v>
      </c>
      <c r="L34">
        <v>6</v>
      </c>
    </row>
    <row r="35" spans="1:12">
      <c r="A35" t="s">
        <v>287</v>
      </c>
      <c r="B35">
        <v>89502.364557968074</v>
      </c>
      <c r="C35" t="s">
        <v>270</v>
      </c>
      <c r="D35" t="s">
        <v>288</v>
      </c>
      <c r="E35">
        <v>14</v>
      </c>
      <c r="F35">
        <v>18</v>
      </c>
      <c r="G35" t="s">
        <v>236</v>
      </c>
      <c r="H35">
        <v>4</v>
      </c>
      <c r="I35" t="s">
        <v>223</v>
      </c>
      <c r="J35" t="s">
        <v>223</v>
      </c>
      <c r="K35" t="s">
        <v>272</v>
      </c>
      <c r="L35">
        <v>7</v>
      </c>
    </row>
    <row r="36" spans="1:12">
      <c r="A36" t="s">
        <v>289</v>
      </c>
      <c r="B36">
        <v>219717.17786179317</v>
      </c>
      <c r="C36" t="s">
        <v>270</v>
      </c>
      <c r="D36" t="s">
        <v>290</v>
      </c>
      <c r="E36">
        <v>18</v>
      </c>
      <c r="F36">
        <v>22</v>
      </c>
      <c r="G36" t="s">
        <v>291</v>
      </c>
      <c r="H36">
        <v>4</v>
      </c>
      <c r="I36" t="s">
        <v>223</v>
      </c>
      <c r="J36" t="s">
        <v>223</v>
      </c>
      <c r="K36" t="s">
        <v>272</v>
      </c>
      <c r="L36">
        <v>8</v>
      </c>
    </row>
    <row r="37" spans="1:12">
      <c r="A37" t="s">
        <v>292</v>
      </c>
      <c r="B37">
        <v>114474.19172190651</v>
      </c>
      <c r="C37" t="s">
        <v>270</v>
      </c>
      <c r="D37" t="s">
        <v>293</v>
      </c>
      <c r="E37">
        <v>22</v>
      </c>
      <c r="F37">
        <v>26</v>
      </c>
      <c r="G37" t="s">
        <v>294</v>
      </c>
      <c r="H37">
        <v>4</v>
      </c>
      <c r="I37" t="s">
        <v>223</v>
      </c>
      <c r="J37" t="s">
        <v>223</v>
      </c>
      <c r="K37" t="s">
        <v>272</v>
      </c>
      <c r="L37">
        <v>9</v>
      </c>
    </row>
    <row r="38" spans="1:12">
      <c r="A38" t="s">
        <v>295</v>
      </c>
      <c r="B38">
        <v>79.432685558295432</v>
      </c>
      <c r="C38" t="s">
        <v>296</v>
      </c>
      <c r="D38" t="s">
        <v>271</v>
      </c>
      <c r="E38">
        <v>0</v>
      </c>
      <c r="F38">
        <v>2</v>
      </c>
      <c r="G38" t="s">
        <v>222</v>
      </c>
      <c r="H38">
        <v>2</v>
      </c>
      <c r="I38" t="s">
        <v>223</v>
      </c>
      <c r="J38" t="s">
        <v>223</v>
      </c>
      <c r="K38" t="s">
        <v>272</v>
      </c>
      <c r="L38">
        <v>1</v>
      </c>
    </row>
    <row r="39" spans="1:12">
      <c r="A39" t="s">
        <v>297</v>
      </c>
      <c r="B39">
        <v>80372.168273461357</v>
      </c>
      <c r="C39" t="s">
        <v>296</v>
      </c>
      <c r="D39" t="s">
        <v>274</v>
      </c>
      <c r="E39">
        <v>2</v>
      </c>
      <c r="F39">
        <v>4</v>
      </c>
      <c r="G39" s="3">
        <v>45692</v>
      </c>
      <c r="H39">
        <v>2</v>
      </c>
      <c r="I39" t="s">
        <v>223</v>
      </c>
      <c r="J39" t="s">
        <v>223</v>
      </c>
      <c r="K39" t="s">
        <v>272</v>
      </c>
      <c r="L39">
        <v>2</v>
      </c>
    </row>
    <row r="40" spans="1:12">
      <c r="A40" t="s">
        <v>298</v>
      </c>
      <c r="B40">
        <v>101398.36759179992</v>
      </c>
      <c r="C40" t="s">
        <v>296</v>
      </c>
      <c r="D40" t="s">
        <v>277</v>
      </c>
      <c r="E40">
        <v>4</v>
      </c>
      <c r="F40">
        <v>6</v>
      </c>
      <c r="G40" s="3">
        <v>45753</v>
      </c>
      <c r="H40">
        <v>2</v>
      </c>
      <c r="I40" t="s">
        <v>223</v>
      </c>
      <c r="J40" t="s">
        <v>223</v>
      </c>
      <c r="K40" t="s">
        <v>272</v>
      </c>
      <c r="L40">
        <v>3</v>
      </c>
    </row>
    <row r="41" spans="1:12">
      <c r="A41" t="s">
        <v>299</v>
      </c>
      <c r="B41">
        <v>110209.77072951275</v>
      </c>
      <c r="C41" t="s">
        <v>296</v>
      </c>
      <c r="D41" t="s">
        <v>280</v>
      </c>
      <c r="E41">
        <v>6</v>
      </c>
      <c r="F41">
        <v>8</v>
      </c>
      <c r="G41" s="3">
        <v>45816</v>
      </c>
      <c r="H41">
        <v>2</v>
      </c>
      <c r="I41" t="s">
        <v>223</v>
      </c>
      <c r="J41" t="s">
        <v>223</v>
      </c>
      <c r="K41" t="s">
        <v>272</v>
      </c>
      <c r="L41">
        <v>4</v>
      </c>
    </row>
    <row r="42" spans="1:12">
      <c r="A42" t="s">
        <v>300</v>
      </c>
      <c r="B42">
        <v>99965.646920986226</v>
      </c>
      <c r="C42" t="s">
        <v>296</v>
      </c>
      <c r="D42" t="s">
        <v>283</v>
      </c>
      <c r="E42">
        <v>8</v>
      </c>
      <c r="F42">
        <v>10</v>
      </c>
      <c r="G42" s="3">
        <v>45879</v>
      </c>
      <c r="H42">
        <v>2</v>
      </c>
      <c r="I42" t="s">
        <v>223</v>
      </c>
      <c r="J42" t="s">
        <v>223</v>
      </c>
      <c r="K42" t="s">
        <v>272</v>
      </c>
      <c r="L42">
        <v>5</v>
      </c>
    </row>
    <row r="43" spans="1:12">
      <c r="A43" t="s">
        <v>301</v>
      </c>
      <c r="B43">
        <v>172753.72773622748</v>
      </c>
      <c r="C43" t="s">
        <v>296</v>
      </c>
      <c r="D43" t="s">
        <v>286</v>
      </c>
      <c r="E43">
        <v>10</v>
      </c>
      <c r="F43">
        <v>14</v>
      </c>
      <c r="G43" s="3">
        <v>45944</v>
      </c>
      <c r="H43">
        <v>4</v>
      </c>
      <c r="I43" t="s">
        <v>223</v>
      </c>
      <c r="J43" t="s">
        <v>223</v>
      </c>
      <c r="K43" t="s">
        <v>272</v>
      </c>
      <c r="L43">
        <v>6</v>
      </c>
    </row>
    <row r="44" spans="1:12">
      <c r="A44" t="s">
        <v>302</v>
      </c>
      <c r="B44">
        <v>302209.78962550301</v>
      </c>
      <c r="C44" t="s">
        <v>296</v>
      </c>
      <c r="D44" t="s">
        <v>288</v>
      </c>
      <c r="E44">
        <v>14</v>
      </c>
      <c r="F44">
        <v>18</v>
      </c>
      <c r="G44" t="s">
        <v>236</v>
      </c>
      <c r="H44">
        <v>4</v>
      </c>
      <c r="I44" t="s">
        <v>223</v>
      </c>
      <c r="J44" t="s">
        <v>223</v>
      </c>
      <c r="K44" t="s">
        <v>272</v>
      </c>
      <c r="L44">
        <v>7</v>
      </c>
    </row>
    <row r="45" spans="1:12">
      <c r="A45" t="s">
        <v>303</v>
      </c>
      <c r="B45">
        <v>275561.2739924636</v>
      </c>
      <c r="C45" t="s">
        <v>296</v>
      </c>
      <c r="D45" t="s">
        <v>290</v>
      </c>
      <c r="E45">
        <v>18</v>
      </c>
      <c r="F45">
        <v>22</v>
      </c>
      <c r="G45" t="s">
        <v>291</v>
      </c>
      <c r="H45">
        <v>4</v>
      </c>
      <c r="I45" t="s">
        <v>223</v>
      </c>
      <c r="J45" t="s">
        <v>223</v>
      </c>
      <c r="K45" t="s">
        <v>272</v>
      </c>
      <c r="L45">
        <v>8</v>
      </c>
    </row>
    <row r="46" spans="1:12">
      <c r="A46" t="s">
        <v>304</v>
      </c>
      <c r="B46">
        <v>156418.50732704121</v>
      </c>
      <c r="C46" t="s">
        <v>296</v>
      </c>
      <c r="D46" t="s">
        <v>293</v>
      </c>
      <c r="E46">
        <v>22</v>
      </c>
      <c r="F46">
        <v>26</v>
      </c>
      <c r="G46" t="s">
        <v>294</v>
      </c>
      <c r="H46">
        <v>4</v>
      </c>
      <c r="I46" t="s">
        <v>223</v>
      </c>
      <c r="J46" t="s">
        <v>223</v>
      </c>
      <c r="K46" t="s">
        <v>272</v>
      </c>
      <c r="L46">
        <v>9</v>
      </c>
    </row>
    <row r="47" spans="1:12">
      <c r="A47" t="s">
        <v>305</v>
      </c>
      <c r="B47">
        <v>2728.1852643599741</v>
      </c>
      <c r="C47" t="s">
        <v>306</v>
      </c>
      <c r="D47" t="s">
        <v>271</v>
      </c>
      <c r="E47">
        <v>0</v>
      </c>
      <c r="F47">
        <v>2</v>
      </c>
      <c r="G47" t="s">
        <v>222</v>
      </c>
      <c r="H47">
        <v>2</v>
      </c>
      <c r="I47" t="s">
        <v>223</v>
      </c>
      <c r="J47" t="s">
        <v>223</v>
      </c>
      <c r="K47" t="s">
        <v>272</v>
      </c>
      <c r="L47">
        <v>1</v>
      </c>
    </row>
    <row r="48" spans="1:12">
      <c r="A48" t="s">
        <v>307</v>
      </c>
      <c r="B48">
        <v>56296.268833804301</v>
      </c>
      <c r="C48" t="s">
        <v>306</v>
      </c>
      <c r="D48" t="s">
        <v>274</v>
      </c>
      <c r="E48">
        <v>2</v>
      </c>
      <c r="F48">
        <v>4</v>
      </c>
      <c r="G48" s="3">
        <v>45692</v>
      </c>
      <c r="H48">
        <v>2</v>
      </c>
      <c r="I48" t="s">
        <v>223</v>
      </c>
      <c r="J48" t="s">
        <v>223</v>
      </c>
      <c r="K48" t="s">
        <v>272</v>
      </c>
      <c r="L48">
        <v>2</v>
      </c>
    </row>
    <row r="49" spans="1:12">
      <c r="A49" t="s">
        <v>308</v>
      </c>
      <c r="B49">
        <v>65849.106367387401</v>
      </c>
      <c r="C49" t="s">
        <v>306</v>
      </c>
      <c r="D49" t="s">
        <v>277</v>
      </c>
      <c r="E49">
        <v>4</v>
      </c>
      <c r="F49">
        <v>6</v>
      </c>
      <c r="G49" s="3">
        <v>45753</v>
      </c>
      <c r="H49">
        <v>2</v>
      </c>
      <c r="I49" t="s">
        <v>223</v>
      </c>
      <c r="J49" t="s">
        <v>223</v>
      </c>
      <c r="K49" t="s">
        <v>272</v>
      </c>
      <c r="L49">
        <v>3</v>
      </c>
    </row>
    <row r="50" spans="1:12">
      <c r="A50" t="s">
        <v>309</v>
      </c>
      <c r="B50">
        <v>83245.602548439711</v>
      </c>
      <c r="C50" t="s">
        <v>306</v>
      </c>
      <c r="D50" t="s">
        <v>280</v>
      </c>
      <c r="E50">
        <v>6</v>
      </c>
      <c r="F50">
        <v>8</v>
      </c>
      <c r="G50" s="3">
        <v>45816</v>
      </c>
      <c r="H50">
        <v>2</v>
      </c>
      <c r="I50" t="s">
        <v>223</v>
      </c>
      <c r="J50" t="s">
        <v>223</v>
      </c>
      <c r="K50" t="s">
        <v>272</v>
      </c>
      <c r="L50">
        <v>4</v>
      </c>
    </row>
    <row r="51" spans="1:12">
      <c r="A51" t="s">
        <v>310</v>
      </c>
      <c r="B51">
        <v>101986.52307128906</v>
      </c>
      <c r="C51" t="s">
        <v>306</v>
      </c>
      <c r="D51" t="s">
        <v>283</v>
      </c>
      <c r="E51">
        <v>8</v>
      </c>
      <c r="F51">
        <v>10</v>
      </c>
      <c r="G51" s="3">
        <v>45879</v>
      </c>
      <c r="H51">
        <v>2</v>
      </c>
      <c r="I51" t="s">
        <v>223</v>
      </c>
      <c r="J51" t="s">
        <v>223</v>
      </c>
      <c r="K51" t="s">
        <v>272</v>
      </c>
      <c r="L51">
        <v>5</v>
      </c>
    </row>
    <row r="52" spans="1:12">
      <c r="A52" t="s">
        <v>311</v>
      </c>
      <c r="B52">
        <v>84546.548231502646</v>
      </c>
      <c r="C52" t="s">
        <v>306</v>
      </c>
      <c r="D52" t="s">
        <v>286</v>
      </c>
      <c r="E52">
        <v>10</v>
      </c>
      <c r="F52">
        <v>14</v>
      </c>
      <c r="G52" s="3">
        <v>45944</v>
      </c>
      <c r="H52">
        <v>4</v>
      </c>
      <c r="I52" t="s">
        <v>223</v>
      </c>
      <c r="J52" t="s">
        <v>223</v>
      </c>
      <c r="K52" t="s">
        <v>272</v>
      </c>
      <c r="L52">
        <v>6</v>
      </c>
    </row>
    <row r="53" spans="1:12">
      <c r="A53" t="s">
        <v>312</v>
      </c>
      <c r="B53">
        <v>82287.364436119286</v>
      </c>
      <c r="C53" t="s">
        <v>306</v>
      </c>
      <c r="D53" t="s">
        <v>288</v>
      </c>
      <c r="E53">
        <v>14</v>
      </c>
      <c r="F53">
        <v>18</v>
      </c>
      <c r="G53" t="s">
        <v>236</v>
      </c>
      <c r="H53">
        <v>4</v>
      </c>
      <c r="I53" t="s">
        <v>223</v>
      </c>
      <c r="J53" t="s">
        <v>223</v>
      </c>
      <c r="K53" t="s">
        <v>272</v>
      </c>
      <c r="L53">
        <v>7</v>
      </c>
    </row>
    <row r="54" spans="1:12">
      <c r="A54" t="s">
        <v>313</v>
      </c>
      <c r="B54">
        <v>71839.964578584098</v>
      </c>
      <c r="C54" t="s">
        <v>306</v>
      </c>
      <c r="D54" t="s">
        <v>290</v>
      </c>
      <c r="E54">
        <v>18</v>
      </c>
      <c r="F54">
        <v>22</v>
      </c>
      <c r="G54" t="s">
        <v>291</v>
      </c>
      <c r="H54">
        <v>4</v>
      </c>
      <c r="I54" t="s">
        <v>223</v>
      </c>
      <c r="J54" t="s">
        <v>223</v>
      </c>
      <c r="K54" t="s">
        <v>272</v>
      </c>
      <c r="L54">
        <v>8</v>
      </c>
    </row>
    <row r="55" spans="1:12">
      <c r="A55" t="s">
        <v>314</v>
      </c>
      <c r="B55">
        <v>83081.020382103306</v>
      </c>
      <c r="C55" t="s">
        <v>306</v>
      </c>
      <c r="D55" t="s">
        <v>293</v>
      </c>
      <c r="E55">
        <v>22</v>
      </c>
      <c r="F55">
        <v>26</v>
      </c>
      <c r="G55" t="s">
        <v>294</v>
      </c>
      <c r="H55">
        <v>4</v>
      </c>
      <c r="I55" t="s">
        <v>223</v>
      </c>
      <c r="J55" t="s">
        <v>223</v>
      </c>
      <c r="K55" t="s">
        <v>272</v>
      </c>
      <c r="L55">
        <v>9</v>
      </c>
    </row>
    <row r="56" spans="1:12">
      <c r="A56" t="s">
        <v>327</v>
      </c>
      <c r="B56">
        <v>671459.9068931978</v>
      </c>
      <c r="C56" t="s">
        <v>328</v>
      </c>
      <c r="D56" t="s">
        <v>317</v>
      </c>
      <c r="E56">
        <v>0</v>
      </c>
      <c r="F56">
        <v>10</v>
      </c>
      <c r="G56" t="s">
        <v>318</v>
      </c>
      <c r="H56">
        <v>10</v>
      </c>
      <c r="I56" t="s">
        <v>319</v>
      </c>
      <c r="J56" t="s">
        <v>329</v>
      </c>
      <c r="K56" t="s">
        <v>272</v>
      </c>
      <c r="L56">
        <v>1</v>
      </c>
    </row>
    <row r="57" spans="1:12">
      <c r="A57" t="s">
        <v>330</v>
      </c>
      <c r="B57">
        <v>1109773.8860452585</v>
      </c>
      <c r="C57" t="s">
        <v>328</v>
      </c>
      <c r="D57" t="s">
        <v>322</v>
      </c>
      <c r="E57">
        <v>10</v>
      </c>
      <c r="F57">
        <v>20</v>
      </c>
      <c r="G57">
        <v>45950</v>
      </c>
      <c r="H57">
        <v>10</v>
      </c>
      <c r="I57" t="s">
        <v>319</v>
      </c>
      <c r="J57" t="s">
        <v>329</v>
      </c>
      <c r="K57" t="s">
        <v>272</v>
      </c>
      <c r="L57">
        <v>2</v>
      </c>
    </row>
    <row r="58" spans="1:12">
      <c r="A58" t="s">
        <v>331</v>
      </c>
      <c r="B58">
        <v>753613.52731805097</v>
      </c>
      <c r="C58" t="s">
        <v>332</v>
      </c>
      <c r="D58" t="s">
        <v>317</v>
      </c>
      <c r="E58">
        <v>0</v>
      </c>
      <c r="F58">
        <v>10</v>
      </c>
      <c r="G58" t="s">
        <v>318</v>
      </c>
      <c r="H58">
        <v>10</v>
      </c>
      <c r="I58" t="s">
        <v>319</v>
      </c>
      <c r="J58" t="s">
        <v>329</v>
      </c>
      <c r="K58" t="s">
        <v>272</v>
      </c>
      <c r="L58">
        <v>1</v>
      </c>
    </row>
    <row r="59" spans="1:12">
      <c r="A59" t="s">
        <v>333</v>
      </c>
      <c r="B59">
        <v>1980201.9959972994</v>
      </c>
      <c r="C59" t="s">
        <v>332</v>
      </c>
      <c r="D59" t="s">
        <v>322</v>
      </c>
      <c r="E59">
        <v>10</v>
      </c>
      <c r="F59">
        <v>20</v>
      </c>
      <c r="G59" s="3">
        <v>45950</v>
      </c>
      <c r="H59">
        <v>10</v>
      </c>
      <c r="I59" t="s">
        <v>319</v>
      </c>
      <c r="J59" t="s">
        <v>329</v>
      </c>
      <c r="K59" t="s">
        <v>272</v>
      </c>
      <c r="L59">
        <v>2</v>
      </c>
    </row>
    <row r="60" spans="1:12">
      <c r="A60" t="s">
        <v>315</v>
      </c>
      <c r="B60">
        <v>88328.437981499475</v>
      </c>
      <c r="C60" t="s">
        <v>316</v>
      </c>
      <c r="D60" t="s">
        <v>317</v>
      </c>
      <c r="E60">
        <v>0</v>
      </c>
      <c r="F60">
        <v>10</v>
      </c>
      <c r="G60" t="s">
        <v>318</v>
      </c>
      <c r="H60">
        <v>10</v>
      </c>
      <c r="I60" t="s">
        <v>319</v>
      </c>
      <c r="J60" t="s">
        <v>320</v>
      </c>
      <c r="K60" t="s">
        <v>224</v>
      </c>
      <c r="L60">
        <v>1</v>
      </c>
    </row>
    <row r="61" spans="1:12">
      <c r="A61" t="s">
        <v>321</v>
      </c>
      <c r="B61">
        <v>66185.479846394082</v>
      </c>
      <c r="C61" t="s">
        <v>316</v>
      </c>
      <c r="D61" t="s">
        <v>322</v>
      </c>
      <c r="E61">
        <v>10</v>
      </c>
      <c r="F61">
        <v>20</v>
      </c>
      <c r="G61" s="3">
        <v>45950</v>
      </c>
      <c r="H61">
        <v>10</v>
      </c>
      <c r="I61" t="s">
        <v>319</v>
      </c>
      <c r="J61" t="s">
        <v>320</v>
      </c>
      <c r="K61" t="s">
        <v>224</v>
      </c>
      <c r="L61">
        <v>2</v>
      </c>
    </row>
    <row r="62" spans="1:12">
      <c r="A62" t="s">
        <v>324</v>
      </c>
      <c r="B62">
        <v>92883.462224264702</v>
      </c>
      <c r="C62" t="s">
        <v>325</v>
      </c>
      <c r="D62" t="s">
        <v>317</v>
      </c>
      <c r="E62">
        <v>0</v>
      </c>
      <c r="F62">
        <v>10</v>
      </c>
      <c r="G62" t="s">
        <v>318</v>
      </c>
      <c r="H62">
        <v>10</v>
      </c>
      <c r="I62" t="s">
        <v>319</v>
      </c>
      <c r="J62" t="s">
        <v>320</v>
      </c>
      <c r="K62" t="s">
        <v>224</v>
      </c>
      <c r="L62">
        <v>1</v>
      </c>
    </row>
    <row r="63" spans="1:12">
      <c r="A63" t="s">
        <v>326</v>
      </c>
      <c r="B63">
        <v>94060.463908921025</v>
      </c>
      <c r="C63" t="s">
        <v>325</v>
      </c>
      <c r="D63" t="s">
        <v>322</v>
      </c>
      <c r="E63">
        <v>10</v>
      </c>
      <c r="F63">
        <v>20</v>
      </c>
      <c r="G63" s="3">
        <v>45950</v>
      </c>
      <c r="H63">
        <v>10</v>
      </c>
      <c r="I63" t="s">
        <v>319</v>
      </c>
      <c r="J63" t="s">
        <v>320</v>
      </c>
      <c r="K63" t="s">
        <v>224</v>
      </c>
      <c r="L63">
        <v>2</v>
      </c>
    </row>
    <row r="64" spans="1:12">
      <c r="A64" t="s">
        <v>351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>
      <c r="A65" t="s">
        <v>350</v>
      </c>
      <c r="C65" t="s">
        <v>350</v>
      </c>
      <c r="D65" t="s">
        <v>350</v>
      </c>
      <c r="E65" t="s">
        <v>350</v>
      </c>
      <c r="F65" t="s">
        <v>350</v>
      </c>
      <c r="G65" s="3" t="s">
        <v>350</v>
      </c>
      <c r="H65" t="s">
        <v>350</v>
      </c>
      <c r="I65" t="s">
        <v>350</v>
      </c>
      <c r="J65" t="s">
        <v>350</v>
      </c>
      <c r="K65" t="s">
        <v>350</v>
      </c>
      <c r="L65" t="s">
        <v>350</v>
      </c>
    </row>
  </sheetData>
  <sortState xmlns:xlrd2="http://schemas.microsoft.com/office/spreadsheetml/2017/richdata2" ref="A2:L65">
    <sortCondition ref="C2:C65" customList="QLDc1,QLDc2,QLDc3,QLNc1,QLNc2,QLNc3,WFL,WKL"/>
    <sortCondition ref="D2:D65" customList="TS,TL1,TL2,TL3,TL4,I,NS1,NS2,NS3,SH1,SH2,SH3,SH4,SH5,LN1,LN2,LN3,LN4,T,B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Sheet2</vt:lpstr>
      <vt:lpstr>bonus samples</vt:lpstr>
      <vt:lpstr>no technical replicates</vt:lpstr>
      <vt:lpstr>working</vt:lpstr>
      <vt:lpstr>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Angus Ball</cp:lastModifiedBy>
  <dcterms:created xsi:type="dcterms:W3CDTF">2025-06-25T20:30:45Z</dcterms:created>
  <dcterms:modified xsi:type="dcterms:W3CDTF">2025-07-18T16:27:13Z</dcterms:modified>
</cp:coreProperties>
</file>